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ctor\Desktop\proyecto de grado\segundo trimestre\"/>
    </mc:Choice>
  </mc:AlternateContent>
  <xr:revisionPtr revIDLastSave="0" documentId="8_{023745EA-18A1-4C74-A495-023F13E6DFE0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Requerimientos" sheetId="1" r:id="rId1"/>
    <sheet name="Salarios" sheetId="2" r:id="rId2"/>
    <sheet name="Supuestos Ventas y Costos" sheetId="3" r:id="rId3"/>
    <sheet name="Supuestos de Inversión" sheetId="4" r:id="rId4"/>
    <sheet name="EFINANCIEROS" sheetId="5" r:id="rId5"/>
    <sheet name="BALANCES" sheetId="6" r:id="rId6"/>
    <sheet name="Hoja1" sheetId="7" r:id="rId7"/>
  </sheets>
  <definedNames>
    <definedName name="Full_Print" localSheetId="5">#REF!</definedName>
    <definedName name="Full_Print">#REF!</definedName>
    <definedName name="Interest_Rate" localSheetId="5">#REF!</definedName>
    <definedName name="Interest_Rate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Number_of_Payments" localSheetId="5">#REF!</definedName>
    <definedName name="Number_of_Payments">#REF!</definedName>
    <definedName name="Total_Cost" localSheetId="5">#REF!</definedName>
    <definedName name="Total_Cost">#REF!</definedName>
    <definedName name="Total_Interest" localSheetId="5">#REF!</definedName>
    <definedName name="Total_Inter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B11" i="6"/>
  <c r="B9" i="6"/>
  <c r="C9" i="6" s="1"/>
  <c r="D9" i="6" s="1"/>
  <c r="E9" i="6" s="1"/>
  <c r="F9" i="6" s="1"/>
  <c r="G9" i="6" s="1"/>
  <c r="B7" i="6"/>
  <c r="G72" i="5"/>
  <c r="G58" i="5"/>
  <c r="A58" i="5"/>
  <c r="A57" i="5"/>
  <c r="A56" i="5"/>
  <c r="A55" i="5"/>
  <c r="G32" i="5"/>
  <c r="C32" i="5"/>
  <c r="D32" i="5" s="1"/>
  <c r="E32" i="5" s="1"/>
  <c r="F32" i="5" s="1"/>
  <c r="G9" i="5"/>
  <c r="F9" i="5"/>
  <c r="E9" i="5"/>
  <c r="D9" i="5"/>
  <c r="D24" i="5" s="1"/>
  <c r="D73" i="5" s="1"/>
  <c r="C9" i="5"/>
  <c r="C57" i="5" s="1"/>
  <c r="C17" i="4"/>
  <c r="C11" i="6" s="1"/>
  <c r="B16" i="4"/>
  <c r="C16" i="4" s="1"/>
  <c r="C8" i="4"/>
  <c r="D8" i="4"/>
  <c r="D19" i="4" s="1"/>
  <c r="B8" i="4"/>
  <c r="C4" i="4"/>
  <c r="B4" i="4"/>
  <c r="B8" i="6" s="1"/>
  <c r="C8" i="6" s="1"/>
  <c r="D8" i="6" s="1"/>
  <c r="E8" i="6" s="1"/>
  <c r="F8" i="6" s="1"/>
  <c r="G8" i="6" s="1"/>
  <c r="C68" i="3"/>
  <c r="D68" i="3" s="1"/>
  <c r="F35" i="3"/>
  <c r="I35" i="3" s="1"/>
  <c r="L35" i="3" s="1"/>
  <c r="O35" i="3" s="1"/>
  <c r="B35" i="3"/>
  <c r="D35" i="3" s="1"/>
  <c r="A35" i="3"/>
  <c r="I34" i="3"/>
  <c r="L34" i="3" s="1"/>
  <c r="O34" i="3" s="1"/>
  <c r="F34" i="3"/>
  <c r="B34" i="3"/>
  <c r="D34" i="3" s="1"/>
  <c r="A34" i="3"/>
  <c r="B33" i="3"/>
  <c r="A33" i="3"/>
  <c r="F32" i="3"/>
  <c r="I32" i="3" s="1"/>
  <c r="L32" i="3" s="1"/>
  <c r="O32" i="3" s="1"/>
  <c r="B32" i="3"/>
  <c r="A32" i="3"/>
  <c r="F31" i="3"/>
  <c r="I31" i="3" s="1"/>
  <c r="L31" i="3" s="1"/>
  <c r="O31" i="3" s="1"/>
  <c r="C31" i="3"/>
  <c r="B31" i="3"/>
  <c r="D31" i="3" s="1"/>
  <c r="A31" i="3"/>
  <c r="B30" i="3"/>
  <c r="A30" i="3"/>
  <c r="L22" i="3"/>
  <c r="J22" i="3"/>
  <c r="H22" i="3"/>
  <c r="C33" i="3" s="1"/>
  <c r="F22" i="3"/>
  <c r="C32" i="3" s="1"/>
  <c r="D22" i="3"/>
  <c r="B22" i="3"/>
  <c r="C30" i="3" s="1"/>
  <c r="F30" i="3" s="1"/>
  <c r="I30" i="3" s="1"/>
  <c r="L30" i="3" s="1"/>
  <c r="O30" i="3" s="1"/>
  <c r="J18" i="3"/>
  <c r="H18" i="3"/>
  <c r="F18" i="3"/>
  <c r="D18" i="3"/>
  <c r="B18" i="3"/>
  <c r="O14" i="3"/>
  <c r="I14" i="3"/>
  <c r="L14" i="3" s="1"/>
  <c r="L12" i="3" s="1"/>
  <c r="O12" i="3" s="1"/>
  <c r="O13" i="3"/>
  <c r="L13" i="3"/>
  <c r="I13" i="3"/>
  <c r="F11" i="3"/>
  <c r="E11" i="3"/>
  <c r="H11" i="3" s="1"/>
  <c r="D11" i="3"/>
  <c r="F10" i="3"/>
  <c r="I10" i="3" s="1"/>
  <c r="L10" i="3" s="1"/>
  <c r="O10" i="3" s="1"/>
  <c r="E10" i="3"/>
  <c r="E34" i="3" s="1"/>
  <c r="G34" i="3" s="1"/>
  <c r="D10" i="3"/>
  <c r="F9" i="3"/>
  <c r="E9" i="3"/>
  <c r="E33" i="3" s="1"/>
  <c r="D9" i="3"/>
  <c r="F8" i="3"/>
  <c r="E8" i="3"/>
  <c r="D8" i="3"/>
  <c r="F7" i="3"/>
  <c r="I7" i="3" s="1"/>
  <c r="L7" i="3" s="1"/>
  <c r="O7" i="3" s="1"/>
  <c r="E7" i="3"/>
  <c r="D7" i="3"/>
  <c r="F6" i="3"/>
  <c r="I6" i="3" s="1"/>
  <c r="L6" i="3" s="1"/>
  <c r="O6" i="3" s="1"/>
  <c r="D6" i="3"/>
  <c r="F39" i="2"/>
  <c r="D39" i="2"/>
  <c r="C39" i="2"/>
  <c r="B39" i="2"/>
  <c r="G38" i="2"/>
  <c r="I38" i="2" s="1"/>
  <c r="K38" i="2" s="1"/>
  <c r="H37" i="2"/>
  <c r="F37" i="2"/>
  <c r="E37" i="2"/>
  <c r="G37" i="2" s="1"/>
  <c r="I37" i="2" s="1"/>
  <c r="K37" i="2" s="1"/>
  <c r="J29" i="2"/>
  <c r="F52" i="3" s="1"/>
  <c r="H29" i="2"/>
  <c r="E52" i="3" s="1"/>
  <c r="F29" i="2"/>
  <c r="D52" i="3" s="1"/>
  <c r="D29" i="2"/>
  <c r="C52" i="3" s="1"/>
  <c r="C29" i="2"/>
  <c r="B53" i="3" s="1"/>
  <c r="B29" i="2"/>
  <c r="B52" i="3" s="1"/>
  <c r="E25" i="2"/>
  <c r="G25" i="2" s="1"/>
  <c r="I25" i="2" s="1"/>
  <c r="K25" i="2" s="1"/>
  <c r="G24" i="2"/>
  <c r="I24" i="2" s="1"/>
  <c r="K24" i="2" s="1"/>
  <c r="E24" i="2"/>
  <c r="E23" i="2"/>
  <c r="G23" i="2" s="1"/>
  <c r="I23" i="2" s="1"/>
  <c r="K23" i="2" s="1"/>
  <c r="I22" i="2"/>
  <c r="K22" i="2" s="1"/>
  <c r="G22" i="2"/>
  <c r="E22" i="2"/>
  <c r="E21" i="2"/>
  <c r="G21" i="2" s="1"/>
  <c r="C13" i="2"/>
  <c r="B44" i="3" s="1"/>
  <c r="B45" i="3" s="1"/>
  <c r="B13" i="2"/>
  <c r="B43" i="3" s="1"/>
  <c r="I12" i="2"/>
  <c r="K12" i="2" s="1"/>
  <c r="E12" i="2"/>
  <c r="G12" i="2" s="1"/>
  <c r="D12" i="2"/>
  <c r="F12" i="2" s="1"/>
  <c r="H12" i="2" s="1"/>
  <c r="J12" i="2" s="1"/>
  <c r="E11" i="2"/>
  <c r="G11" i="2" s="1"/>
  <c r="I11" i="2" s="1"/>
  <c r="K11" i="2" s="1"/>
  <c r="D11" i="2"/>
  <c r="F11" i="2" s="1"/>
  <c r="H11" i="2" s="1"/>
  <c r="J11" i="2" s="1"/>
  <c r="I10" i="2"/>
  <c r="K10" i="2" s="1"/>
  <c r="E10" i="2"/>
  <c r="G10" i="2" s="1"/>
  <c r="D10" i="2"/>
  <c r="F10" i="2" s="1"/>
  <c r="H10" i="2" s="1"/>
  <c r="J10" i="2" s="1"/>
  <c r="E9" i="2"/>
  <c r="G9" i="2" s="1"/>
  <c r="I9" i="2" s="1"/>
  <c r="K9" i="2" s="1"/>
  <c r="D9" i="2"/>
  <c r="F9" i="2" s="1"/>
  <c r="I8" i="2"/>
  <c r="K8" i="2" s="1"/>
  <c r="E8" i="2"/>
  <c r="G8" i="2" s="1"/>
  <c r="D8" i="2"/>
  <c r="D13" i="2" s="1"/>
  <c r="C43" i="3" s="1"/>
  <c r="E6" i="2"/>
  <c r="G6" i="2" s="1"/>
  <c r="E5" i="2"/>
  <c r="G5" i="2" s="1"/>
  <c r="I5" i="2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7" i="1"/>
  <c r="A6" i="1"/>
  <c r="D57" i="5" l="1"/>
  <c r="C24" i="5"/>
  <c r="E13" i="2"/>
  <c r="B12" i="6"/>
  <c r="B14" i="6" s="1"/>
  <c r="E35" i="3"/>
  <c r="G35" i="3" s="1"/>
  <c r="I8" i="3"/>
  <c r="L8" i="3" s="1"/>
  <c r="O8" i="3" s="1"/>
  <c r="I11" i="3"/>
  <c r="L11" i="3" s="1"/>
  <c r="O11" i="3" s="1"/>
  <c r="I9" i="3"/>
  <c r="L9" i="3" s="1"/>
  <c r="O9" i="3" s="1"/>
  <c r="E30" i="3"/>
  <c r="G30" i="3" s="1"/>
  <c r="G6" i="3"/>
  <c r="G8" i="3"/>
  <c r="D33" i="3"/>
  <c r="H9" i="3"/>
  <c r="K9" i="3" s="1"/>
  <c r="M9" i="3" s="1"/>
  <c r="H10" i="3"/>
  <c r="J10" i="3" s="1"/>
  <c r="H8" i="3"/>
  <c r="H32" i="3" s="1"/>
  <c r="J32" i="3" s="1"/>
  <c r="E32" i="3"/>
  <c r="G32" i="3" s="1"/>
  <c r="D12" i="3"/>
  <c r="C4" i="5" s="1"/>
  <c r="B71" i="3" s="1"/>
  <c r="B74" i="3" s="1"/>
  <c r="B75" i="3" s="1"/>
  <c r="B60" i="3" s="1"/>
  <c r="C7" i="5" s="1"/>
  <c r="B36" i="3"/>
  <c r="I6" i="2"/>
  <c r="K6" i="2" s="1"/>
  <c r="B54" i="3"/>
  <c r="H35" i="3"/>
  <c r="J35" i="3" s="1"/>
  <c r="K11" i="3"/>
  <c r="H34" i="3"/>
  <c r="J34" i="3" s="1"/>
  <c r="K10" i="3"/>
  <c r="C44" i="3"/>
  <c r="D14" i="2"/>
  <c r="H7" i="3"/>
  <c r="G7" i="3"/>
  <c r="E31" i="3"/>
  <c r="G31" i="3" s="1"/>
  <c r="H39" i="2"/>
  <c r="J37" i="2"/>
  <c r="J39" i="2" s="1"/>
  <c r="B19" i="6"/>
  <c r="B26" i="4"/>
  <c r="K5" i="2"/>
  <c r="H30" i="3"/>
  <c r="G10" i="3"/>
  <c r="E24" i="5"/>
  <c r="E73" i="5" s="1"/>
  <c r="E57" i="5"/>
  <c r="F33" i="3"/>
  <c r="I33" i="3" s="1"/>
  <c r="L33" i="3" s="1"/>
  <c r="O33" i="3" s="1"/>
  <c r="K30" i="3"/>
  <c r="M6" i="3"/>
  <c r="B46" i="3"/>
  <c r="C54" i="5" s="1"/>
  <c r="H9" i="2"/>
  <c r="B55" i="3"/>
  <c r="E39" i="2"/>
  <c r="E12" i="3"/>
  <c r="I21" i="2"/>
  <c r="G29" i="2"/>
  <c r="C30" i="2"/>
  <c r="J6" i="3"/>
  <c r="D32" i="3"/>
  <c r="F24" i="5"/>
  <c r="F73" i="5" s="1"/>
  <c r="F57" i="5"/>
  <c r="E29" i="2"/>
  <c r="G57" i="5"/>
  <c r="G24" i="5"/>
  <c r="G73" i="5" s="1"/>
  <c r="B6" i="6"/>
  <c r="G9" i="3"/>
  <c r="E68" i="3"/>
  <c r="B71" i="5"/>
  <c r="F8" i="2"/>
  <c r="H8" i="2" s="1"/>
  <c r="J8" i="2" s="1"/>
  <c r="B14" i="2"/>
  <c r="G11" i="3"/>
  <c r="C73" i="5"/>
  <c r="C10" i="6"/>
  <c r="D10" i="6" s="1"/>
  <c r="D30" i="3"/>
  <c r="D36" i="3" s="1"/>
  <c r="D11" i="6"/>
  <c r="C7" i="6"/>
  <c r="B33" i="6"/>
  <c r="C33" i="6" s="1"/>
  <c r="B56" i="3" l="1"/>
  <c r="B61" i="3" s="1"/>
  <c r="C8" i="5" s="1"/>
  <c r="C56" i="5" s="1"/>
  <c r="H33" i="3"/>
  <c r="J33" i="3" s="1"/>
  <c r="J9" i="3"/>
  <c r="N9" i="3"/>
  <c r="N33" i="3" s="1"/>
  <c r="P33" i="3" s="1"/>
  <c r="K33" i="3"/>
  <c r="M33" i="3" s="1"/>
  <c r="J11" i="3"/>
  <c r="H12" i="3"/>
  <c r="J8" i="3"/>
  <c r="K8" i="3"/>
  <c r="M8" i="3" s="1"/>
  <c r="C50" i="5"/>
  <c r="G12" i="3"/>
  <c r="D4" i="5" s="1"/>
  <c r="C71" i="3" s="1"/>
  <c r="C13" i="6"/>
  <c r="C10" i="5"/>
  <c r="D10" i="5" s="1"/>
  <c r="E10" i="5" s="1"/>
  <c r="F10" i="5" s="1"/>
  <c r="G10" i="5" s="1"/>
  <c r="C6" i="6"/>
  <c r="D7" i="6"/>
  <c r="G13" i="2"/>
  <c r="P9" i="3"/>
  <c r="K35" i="3"/>
  <c r="M35" i="3" s="1"/>
  <c r="N11" i="3"/>
  <c r="M11" i="3"/>
  <c r="P6" i="3"/>
  <c r="N30" i="3"/>
  <c r="C55" i="5"/>
  <c r="I29" i="2"/>
  <c r="K21" i="2"/>
  <c r="K29" i="2" s="1"/>
  <c r="E36" i="3"/>
  <c r="K7" i="3"/>
  <c r="J7" i="3"/>
  <c r="H31" i="3"/>
  <c r="J31" i="3" s="1"/>
  <c r="F68" i="3"/>
  <c r="E10" i="6"/>
  <c r="F10" i="6" s="1"/>
  <c r="G10" i="6" s="1"/>
  <c r="M30" i="3"/>
  <c r="J30" i="3"/>
  <c r="B29" i="4"/>
  <c r="J4" i="4"/>
  <c r="D12" i="6"/>
  <c r="E11" i="6"/>
  <c r="C5" i="5"/>
  <c r="I13" i="2"/>
  <c r="C45" i="3"/>
  <c r="C46" i="3" s="1"/>
  <c r="D54" i="5" s="1"/>
  <c r="G33" i="3"/>
  <c r="G36" i="3" s="1"/>
  <c r="H13" i="2"/>
  <c r="E43" i="3" s="1"/>
  <c r="J9" i="2"/>
  <c r="J13" i="2" s="1"/>
  <c r="F43" i="3" s="1"/>
  <c r="M10" i="3"/>
  <c r="K34" i="3"/>
  <c r="M34" i="3" s="1"/>
  <c r="N10" i="3"/>
  <c r="B18" i="6"/>
  <c r="B17" i="6" s="1"/>
  <c r="D53" i="3"/>
  <c r="F30" i="2"/>
  <c r="C53" i="3"/>
  <c r="D30" i="2"/>
  <c r="C55" i="3"/>
  <c r="G39" i="2"/>
  <c r="K13" i="2"/>
  <c r="F13" i="2"/>
  <c r="D43" i="3" s="1"/>
  <c r="D5" i="5" l="1"/>
  <c r="K32" i="3"/>
  <c r="M32" i="3" s="1"/>
  <c r="N8" i="3"/>
  <c r="P8" i="3" s="1"/>
  <c r="J12" i="3"/>
  <c r="E4" i="5" s="1"/>
  <c r="D71" i="3" s="1"/>
  <c r="H36" i="3"/>
  <c r="C73" i="3"/>
  <c r="C74" i="3" s="1"/>
  <c r="C75" i="3" s="1"/>
  <c r="C60" i="3" s="1"/>
  <c r="D7" i="5" s="1"/>
  <c r="D50" i="5"/>
  <c r="D62" i="5"/>
  <c r="D61" i="5" s="1"/>
  <c r="D6" i="5"/>
  <c r="G43" i="4"/>
  <c r="G41" i="4"/>
  <c r="G39" i="4"/>
  <c r="G37" i="4"/>
  <c r="G35" i="4"/>
  <c r="G33" i="4"/>
  <c r="G27" i="4"/>
  <c r="G20" i="4"/>
  <c r="G15" i="4"/>
  <c r="G12" i="4"/>
  <c r="G10" i="4"/>
  <c r="G7" i="4"/>
  <c r="G56" i="4"/>
  <c r="G54" i="4"/>
  <c r="G52" i="4"/>
  <c r="G50" i="4"/>
  <c r="G48" i="4"/>
  <c r="G46" i="4"/>
  <c r="G40" i="4"/>
  <c r="G34" i="4"/>
  <c r="G26" i="4"/>
  <c r="G19" i="4"/>
  <c r="G8" i="4"/>
  <c r="G23" i="4"/>
  <c r="G6" i="4"/>
  <c r="G55" i="4"/>
  <c r="G51" i="4"/>
  <c r="G47" i="4"/>
  <c r="G36" i="4"/>
  <c r="G28" i="4"/>
  <c r="G45" i="4"/>
  <c r="G30" i="4"/>
  <c r="G25" i="4"/>
  <c r="G16" i="4"/>
  <c r="G14" i="4"/>
  <c r="G42" i="4"/>
  <c r="G38" i="4"/>
  <c r="G53" i="4"/>
  <c r="G22" i="4"/>
  <c r="G9" i="4"/>
  <c r="G49" i="4"/>
  <c r="G32" i="4"/>
  <c r="G29" i="4"/>
  <c r="G24" i="4"/>
  <c r="G13" i="4"/>
  <c r="G21" i="4"/>
  <c r="G11" i="4"/>
  <c r="G17" i="4"/>
  <c r="B31" i="4"/>
  <c r="D6" i="6"/>
  <c r="E7" i="6"/>
  <c r="C62" i="5"/>
  <c r="C61" i="5" s="1"/>
  <c r="C60" i="5" s="1"/>
  <c r="B14" i="4"/>
  <c r="C14" i="4" s="1"/>
  <c r="C6" i="5"/>
  <c r="P11" i="3"/>
  <c r="N35" i="3"/>
  <c r="P35" i="3" s="1"/>
  <c r="E53" i="3"/>
  <c r="H30" i="2"/>
  <c r="D13" i="6"/>
  <c r="C14" i="6"/>
  <c r="O3" i="4"/>
  <c r="H6" i="4"/>
  <c r="E12" i="6"/>
  <c r="F11" i="6"/>
  <c r="N32" i="3"/>
  <c r="P32" i="3" s="1"/>
  <c r="C11" i="5"/>
  <c r="J30" i="2"/>
  <c r="F53" i="3"/>
  <c r="J36" i="3"/>
  <c r="J14" i="2"/>
  <c r="F44" i="3"/>
  <c r="I39" i="2"/>
  <c r="D55" i="3"/>
  <c r="D56" i="3" s="1"/>
  <c r="D61" i="3" s="1"/>
  <c r="E8" i="5" s="1"/>
  <c r="E56" i="5" s="1"/>
  <c r="N34" i="3"/>
  <c r="P34" i="3" s="1"/>
  <c r="P10" i="3"/>
  <c r="C54" i="3"/>
  <c r="C56" i="3" s="1"/>
  <c r="C61" i="3" s="1"/>
  <c r="D8" i="5" s="1"/>
  <c r="D56" i="5" s="1"/>
  <c r="D54" i="3"/>
  <c r="P30" i="3"/>
  <c r="D44" i="3"/>
  <c r="F14" i="2"/>
  <c r="K31" i="3"/>
  <c r="N7" i="3"/>
  <c r="M7" i="3"/>
  <c r="M12" i="3" s="1"/>
  <c r="F4" i="5" s="1"/>
  <c r="K12" i="3"/>
  <c r="E44" i="3"/>
  <c r="H14" i="2"/>
  <c r="E50" i="5" l="1"/>
  <c r="D73" i="3"/>
  <c r="D74" i="3" s="1"/>
  <c r="D75" i="3" s="1"/>
  <c r="D60" i="3" s="1"/>
  <c r="E7" i="5" s="1"/>
  <c r="D60" i="5"/>
  <c r="E55" i="3"/>
  <c r="K39" i="2"/>
  <c r="F55" i="3" s="1"/>
  <c r="E71" i="3"/>
  <c r="F50" i="5"/>
  <c r="E73" i="3"/>
  <c r="P7" i="3"/>
  <c r="P12" i="3" s="1"/>
  <c r="G4" i="5" s="1"/>
  <c r="N31" i="3"/>
  <c r="N12" i="3"/>
  <c r="F45" i="3"/>
  <c r="F46" i="3" s="1"/>
  <c r="G54" i="5" s="1"/>
  <c r="E13" i="6"/>
  <c r="D14" i="6"/>
  <c r="E6" i="6"/>
  <c r="F7" i="6"/>
  <c r="M31" i="3"/>
  <c r="M36" i="3" s="1"/>
  <c r="K36" i="3"/>
  <c r="E54" i="3"/>
  <c r="B13" i="4"/>
  <c r="D45" i="3"/>
  <c r="D46" i="3" s="1"/>
  <c r="F54" i="3"/>
  <c r="I6" i="4"/>
  <c r="G11" i="6"/>
  <c r="F12" i="6"/>
  <c r="E45" i="3"/>
  <c r="E46" i="3" s="1"/>
  <c r="F54" i="5" s="1"/>
  <c r="D55" i="5"/>
  <c r="D11" i="5"/>
  <c r="D13" i="5" s="1"/>
  <c r="C13" i="5"/>
  <c r="F56" i="3" l="1"/>
  <c r="F61" i="3" s="1"/>
  <c r="G8" i="5" s="1"/>
  <c r="G56" i="5" s="1"/>
  <c r="E56" i="3"/>
  <c r="E61" i="3" s="1"/>
  <c r="F8" i="5" s="1"/>
  <c r="F56" i="5" s="1"/>
  <c r="F5" i="5"/>
  <c r="F62" i="5" s="1"/>
  <c r="F61" i="5" s="1"/>
  <c r="F60" i="5" s="1"/>
  <c r="E54" i="5"/>
  <c r="E5" i="5"/>
  <c r="E55" i="5"/>
  <c r="E11" i="5"/>
  <c r="P31" i="3"/>
  <c r="P36" i="3" s="1"/>
  <c r="G5" i="5" s="1"/>
  <c r="G62" i="5" s="1"/>
  <c r="G61" i="5" s="1"/>
  <c r="N36" i="3"/>
  <c r="F6" i="5"/>
  <c r="F6" i="6"/>
  <c r="G7" i="6"/>
  <c r="G6" i="6" s="1"/>
  <c r="G50" i="5"/>
  <c r="F71" i="3"/>
  <c r="F73" i="3"/>
  <c r="G12" i="6"/>
  <c r="E74" i="3"/>
  <c r="E75" i="3" s="1"/>
  <c r="E60" i="3" s="1"/>
  <c r="F7" i="5" s="1"/>
  <c r="F13" i="6"/>
  <c r="E14" i="6"/>
  <c r="J6" i="4"/>
  <c r="C13" i="4"/>
  <c r="C19" i="4" s="1"/>
  <c r="B19" i="4"/>
  <c r="G60" i="5" l="1"/>
  <c r="G6" i="5"/>
  <c r="H7" i="4"/>
  <c r="G13" i="6"/>
  <c r="G14" i="6" s="1"/>
  <c r="F14" i="6"/>
  <c r="F74" i="3"/>
  <c r="F75" i="3" s="1"/>
  <c r="F60" i="3" s="1"/>
  <c r="G7" i="5" s="1"/>
  <c r="B70" i="5"/>
  <c r="B74" i="5" s="1"/>
  <c r="B26" i="5"/>
  <c r="D21" i="4"/>
  <c r="B22" i="6"/>
  <c r="C21" i="4"/>
  <c r="F11" i="5"/>
  <c r="F13" i="5" s="1"/>
  <c r="F55" i="5"/>
  <c r="E62" i="5"/>
  <c r="E61" i="5" s="1"/>
  <c r="E60" i="5" s="1"/>
  <c r="E6" i="5"/>
  <c r="E13" i="5" s="1"/>
  <c r="B21" i="4" l="1"/>
  <c r="G11" i="5"/>
  <c r="G13" i="5" s="1"/>
  <c r="G15" i="5" s="1"/>
  <c r="G55" i="5"/>
  <c r="I7" i="4"/>
  <c r="B21" i="6"/>
  <c r="B26" i="6" s="1"/>
  <c r="C22" i="6"/>
  <c r="C69" i="5"/>
  <c r="B5" i="6"/>
  <c r="B4" i="6" s="1"/>
  <c r="B15" i="6" s="1"/>
  <c r="B28" i="6" l="1"/>
  <c r="J7" i="4"/>
  <c r="D22" i="6"/>
  <c r="G16" i="5"/>
  <c r="G59" i="5" s="1"/>
  <c r="G53" i="5" s="1"/>
  <c r="G52" i="5" l="1"/>
  <c r="G49" i="5"/>
  <c r="G48" i="5" s="1"/>
  <c r="G17" i="5"/>
  <c r="H8" i="4"/>
  <c r="E22" i="6"/>
  <c r="F22" i="6" l="1"/>
  <c r="I8" i="4"/>
  <c r="F42" i="5"/>
  <c r="G70" i="5"/>
  <c r="G23" i="5"/>
  <c r="F41" i="5"/>
  <c r="J8" i="4" l="1"/>
  <c r="G24" i="6"/>
  <c r="G26" i="5"/>
  <c r="G35" i="5" s="1"/>
  <c r="G22" i="6"/>
  <c r="H9" i="4" l="1"/>
  <c r="I9" i="4" l="1"/>
  <c r="J9" i="4" l="1"/>
  <c r="H10" i="4" l="1"/>
  <c r="I10" i="4" s="1"/>
  <c r="J10" i="4" l="1"/>
  <c r="H12" i="4" l="1"/>
  <c r="I12" i="4" s="1"/>
  <c r="H11" i="4"/>
  <c r="I11" i="4" s="1"/>
  <c r="J11" i="4" s="1"/>
  <c r="J12" i="4" s="1"/>
  <c r="H13" i="4" l="1"/>
  <c r="I13" i="4" s="1"/>
  <c r="J13" i="4" s="1"/>
  <c r="H14" i="4" l="1"/>
  <c r="I14" i="4" s="1"/>
  <c r="J14" i="4" s="1"/>
  <c r="H15" i="4" l="1"/>
  <c r="I15" i="4" s="1"/>
  <c r="J15" i="4" s="1"/>
  <c r="H16" i="4" l="1"/>
  <c r="I16" i="4" s="1"/>
  <c r="J16" i="4" s="1"/>
  <c r="H17" i="4" l="1"/>
  <c r="I17" i="4" l="1"/>
  <c r="K17" i="4"/>
  <c r="C14" i="5" s="1"/>
  <c r="C58" i="5" l="1"/>
  <c r="C15" i="5"/>
  <c r="L17" i="4"/>
  <c r="C25" i="5" s="1"/>
  <c r="J17" i="4"/>
  <c r="C72" i="5" l="1"/>
  <c r="C19" i="6"/>
  <c r="C16" i="5"/>
  <c r="C59" i="5" s="1"/>
  <c r="C53" i="5" s="1"/>
  <c r="H19" i="4"/>
  <c r="I19" i="4" l="1"/>
  <c r="C52" i="5"/>
  <c r="C49" i="5"/>
  <c r="C48" i="5" s="1"/>
  <c r="C17" i="5"/>
  <c r="C18" i="6"/>
  <c r="C17" i="6" s="1"/>
  <c r="C23" i="5" l="1"/>
  <c r="B41" i="5"/>
  <c r="B42" i="5"/>
  <c r="C70" i="5"/>
  <c r="C74" i="5" s="1"/>
  <c r="J19" i="4"/>
  <c r="H20" i="4" l="1"/>
  <c r="C5" i="6"/>
  <c r="C4" i="6" s="1"/>
  <c r="C15" i="6" s="1"/>
  <c r="D69" i="5"/>
  <c r="C26" i="5"/>
  <c r="C24" i="6"/>
  <c r="D23" i="6" l="1"/>
  <c r="C21" i="6"/>
  <c r="C26" i="6" s="1"/>
  <c r="C28" i="6" s="1"/>
  <c r="C35" i="5"/>
  <c r="I20" i="4"/>
  <c r="J20" i="4" l="1"/>
  <c r="C36" i="5"/>
  <c r="H21" i="4" l="1"/>
  <c r="I21" i="4" l="1"/>
  <c r="J21" i="4" l="1"/>
  <c r="H22" i="4" l="1"/>
  <c r="I22" i="4" l="1"/>
  <c r="J22" i="4" l="1"/>
  <c r="H23" i="4" l="1"/>
  <c r="I23" i="4" l="1"/>
  <c r="J23" i="4" l="1"/>
  <c r="H24" i="4" l="1"/>
  <c r="I24" i="4" s="1"/>
  <c r="J24" i="4" s="1"/>
  <c r="H25" i="4" l="1"/>
  <c r="I25" i="4" s="1"/>
  <c r="J25" i="4"/>
  <c r="H26" i="4" l="1"/>
  <c r="I26" i="4" s="1"/>
  <c r="J26" i="4" s="1"/>
  <c r="H27" i="4" l="1"/>
  <c r="I27" i="4" s="1"/>
  <c r="J27" i="4" s="1"/>
  <c r="H28" i="4" l="1"/>
  <c r="I28" i="4" s="1"/>
  <c r="J28" i="4"/>
  <c r="H29" i="4" l="1"/>
  <c r="I29" i="4" s="1"/>
  <c r="J29" i="4" s="1"/>
  <c r="H30" i="4" l="1"/>
  <c r="I30" i="4" l="1"/>
  <c r="K30" i="4"/>
  <c r="D14" i="5" s="1"/>
  <c r="D58" i="5" l="1"/>
  <c r="D15" i="5"/>
  <c r="L30" i="4"/>
  <c r="D25" i="5" s="1"/>
  <c r="J30" i="4"/>
  <c r="D72" i="5" l="1"/>
  <c r="D19" i="6"/>
  <c r="H32" i="4"/>
  <c r="D16" i="5"/>
  <c r="D59" i="5" s="1"/>
  <c r="D53" i="5" s="1"/>
  <c r="D17" i="5" l="1"/>
  <c r="C41" i="5" s="1"/>
  <c r="D49" i="5"/>
  <c r="D48" i="5" s="1"/>
  <c r="D52" i="5"/>
  <c r="I32" i="4"/>
  <c r="D18" i="6"/>
  <c r="D17" i="6" s="1"/>
  <c r="C42" i="5" l="1"/>
  <c r="D23" i="5"/>
  <c r="D26" i="5" s="1"/>
  <c r="D70" i="5"/>
  <c r="D74" i="5" s="1"/>
  <c r="E69" i="5" s="1"/>
  <c r="D24" i="6"/>
  <c r="J32" i="4"/>
  <c r="D5" i="6" l="1"/>
  <c r="D4" i="6" s="1"/>
  <c r="D15" i="6" s="1"/>
  <c r="H33" i="4"/>
  <c r="D21" i="6"/>
  <c r="D26" i="6" s="1"/>
  <c r="E23" i="6"/>
  <c r="D35" i="5"/>
  <c r="D28" i="6" l="1"/>
  <c r="D36" i="5"/>
  <c r="I33" i="4"/>
  <c r="J33" i="4" l="1"/>
  <c r="H34" i="4" l="1"/>
  <c r="I34" i="4" l="1"/>
  <c r="J34" i="4" l="1"/>
  <c r="H35" i="4" l="1"/>
  <c r="I35" i="4" l="1"/>
  <c r="J35" i="4" l="1"/>
  <c r="H36" i="4" l="1"/>
  <c r="I36" i="4" l="1"/>
  <c r="J36" i="4" l="1"/>
  <c r="H37" i="4" l="1"/>
  <c r="I37" i="4" s="1"/>
  <c r="J37" i="4" s="1"/>
  <c r="H38" i="4" l="1"/>
  <c r="I38" i="4" s="1"/>
  <c r="J38" i="4" s="1"/>
  <c r="H39" i="4" l="1"/>
  <c r="I39" i="4" s="1"/>
  <c r="J39" i="4" s="1"/>
  <c r="H40" i="4" l="1"/>
  <c r="I40" i="4" s="1"/>
  <c r="J40" i="4" s="1"/>
  <c r="H41" i="4" l="1"/>
  <c r="I41" i="4" s="1"/>
  <c r="J41" i="4"/>
  <c r="H42" i="4" l="1"/>
  <c r="I42" i="4" s="1"/>
  <c r="J42" i="4" s="1"/>
  <c r="H43" i="4" l="1"/>
  <c r="I43" i="4" l="1"/>
  <c r="K43" i="4"/>
  <c r="E14" i="5" s="1"/>
  <c r="E58" i="5" l="1"/>
  <c r="E15" i="5"/>
  <c r="L43" i="4"/>
  <c r="E25" i="5" s="1"/>
  <c r="J43" i="4"/>
  <c r="H45" i="4" l="1"/>
  <c r="E16" i="5"/>
  <c r="E59" i="5" s="1"/>
  <c r="E53" i="5" s="1"/>
  <c r="E72" i="5"/>
  <c r="E19" i="6"/>
  <c r="E17" i="5" l="1"/>
  <c r="D42" i="5" s="1"/>
  <c r="E49" i="5"/>
  <c r="E48" i="5" s="1"/>
  <c r="E52" i="5"/>
  <c r="E18" i="6"/>
  <c r="E17" i="6" s="1"/>
  <c r="I45" i="4"/>
  <c r="E23" i="5" l="1"/>
  <c r="E26" i="5" s="1"/>
  <c r="E70" i="5"/>
  <c r="E74" i="5" s="1"/>
  <c r="E5" i="6" s="1"/>
  <c r="E4" i="6" s="1"/>
  <c r="E15" i="6" s="1"/>
  <c r="D41" i="5"/>
  <c r="J45" i="4"/>
  <c r="E24" i="6" l="1"/>
  <c r="F23" i="6" s="1"/>
  <c r="F69" i="5"/>
  <c r="E35" i="5"/>
  <c r="H46" i="4"/>
  <c r="E21" i="6" l="1"/>
  <c r="E26" i="6" s="1"/>
  <c r="E28" i="6" s="1"/>
  <c r="I46" i="4"/>
  <c r="E36" i="5"/>
  <c r="J46" i="4" l="1"/>
  <c r="H47" i="4" l="1"/>
  <c r="I47" i="4" l="1"/>
  <c r="J47" i="4" l="1"/>
  <c r="H48" i="4" l="1"/>
  <c r="I48" i="4" l="1"/>
  <c r="J48" i="4" l="1"/>
  <c r="H49" i="4" l="1"/>
  <c r="I49" i="4" l="1"/>
  <c r="J49" i="4" l="1"/>
  <c r="H50" i="4" l="1"/>
  <c r="I50" i="4" s="1"/>
  <c r="J50" i="4" s="1"/>
  <c r="H51" i="4" l="1"/>
  <c r="I51" i="4" s="1"/>
  <c r="J51" i="4" s="1"/>
  <c r="H52" i="4" l="1"/>
  <c r="I52" i="4" s="1"/>
  <c r="J52" i="4"/>
  <c r="H53" i="4" l="1"/>
  <c r="I53" i="4" s="1"/>
  <c r="J53" i="4"/>
  <c r="H54" i="4" l="1"/>
  <c r="I54" i="4" s="1"/>
  <c r="J54" i="4" s="1"/>
  <c r="H55" i="4" l="1"/>
  <c r="I55" i="4" s="1"/>
  <c r="J55" i="4"/>
  <c r="I56" i="4" l="1"/>
  <c r="L56" i="4" s="1"/>
  <c r="F25" i="5" s="1"/>
  <c r="H56" i="4"/>
  <c r="K56" i="4" s="1"/>
  <c r="F14" i="5" s="1"/>
  <c r="J56" i="4"/>
  <c r="F58" i="5" l="1"/>
  <c r="F15" i="5"/>
  <c r="F72" i="5"/>
  <c r="F19" i="6"/>
  <c r="F16" i="5" l="1"/>
  <c r="F59" i="5" s="1"/>
  <c r="F53" i="5" s="1"/>
  <c r="F18" i="6"/>
  <c r="F17" i="6" s="1"/>
  <c r="G19" i="6"/>
  <c r="G18" i="6" s="1"/>
  <c r="G17" i="6" s="1"/>
  <c r="F17" i="5" l="1"/>
  <c r="E42" i="5" s="1"/>
  <c r="F49" i="5"/>
  <c r="F48" i="5" s="1"/>
  <c r="F52" i="5"/>
  <c r="F23" i="5" l="1"/>
  <c r="F26" i="5" s="1"/>
  <c r="E41" i="5"/>
  <c r="F70" i="5"/>
  <c r="F74" i="5" s="1"/>
  <c r="G69" i="5" s="1"/>
  <c r="G74" i="5" s="1"/>
  <c r="G5" i="6" s="1"/>
  <c r="G4" i="6" s="1"/>
  <c r="G15" i="6" s="1"/>
  <c r="F5" i="6" l="1"/>
  <c r="F4" i="6" s="1"/>
  <c r="F15" i="6" s="1"/>
  <c r="F24" i="6"/>
  <c r="G23" i="6" s="1"/>
  <c r="G21" i="6" s="1"/>
  <c r="G26" i="6" s="1"/>
  <c r="G28" i="6" s="1"/>
  <c r="F35" i="5"/>
  <c r="B28" i="5"/>
  <c r="B27" i="5" a="1"/>
  <c r="B27" i="5" s="1"/>
  <c r="F21" i="6" l="1"/>
  <c r="F26" i="6" s="1"/>
  <c r="F28" i="6" s="1"/>
  <c r="F36" i="5"/>
  <c r="G36" i="5" s="1"/>
  <c r="B3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3000000}">
      <text>
        <r>
          <rPr>
            <sz val="10"/>
            <color rgb="FF000000"/>
            <rFont val="Arial"/>
            <scheme val="minor"/>
          </rPr>
          <t>install:
Aumento Salarial</t>
        </r>
      </text>
    </comment>
    <comment ref="B3" authorId="0" shapeId="0" xr:uid="{00000000-0006-0000-0100-000004000000}">
      <text>
        <r>
          <rPr>
            <sz val="10"/>
            <color rgb="FF000000"/>
            <rFont val="Arial"/>
            <scheme val="minor"/>
          </rPr>
          <t>install:
Registrar salario mensual en dólares (No incluye prestaciones)</t>
        </r>
      </text>
    </comment>
    <comment ref="B18" authorId="0" shapeId="0" xr:uid="{00000000-0006-0000-0100-000001000000}">
      <text>
        <r>
          <rPr>
            <sz val="10"/>
            <color rgb="FF000000"/>
            <rFont val="Arial"/>
            <scheme val="minor"/>
          </rPr>
          <t>install:
Salario Mensual</t>
        </r>
      </text>
    </comment>
    <comment ref="B33" authorId="0" shapeId="0" xr:uid="{00000000-0006-0000-0100-000002000000}">
      <text>
        <r>
          <rPr>
            <sz val="10"/>
            <color rgb="FF000000"/>
            <rFont val="Arial"/>
            <scheme val="minor"/>
          </rPr>
          <t>install:
Lo estipulan Uds.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200-000008000000}">
      <text>
        <r>
          <rPr>
            <sz val="10"/>
            <color rgb="FF000000"/>
            <rFont val="Arial"/>
            <scheme val="minor"/>
          </rPr>
          <t>install:
Anotar líneas de productos que desarrollará la empresa</t>
        </r>
      </text>
    </comment>
    <comment ref="B5" authorId="0" shapeId="0" xr:uid="{00000000-0006-0000-0200-000009000000}">
      <text>
        <r>
          <rPr>
            <sz val="10"/>
            <color rgb="FF000000"/>
            <rFont val="Arial"/>
            <scheme val="minor"/>
          </rPr>
          <t>WinuE:
Por favor anote el número de unidades, de acuerdo a la Participación de Mercado por año</t>
        </r>
      </text>
    </comment>
    <comment ref="C5" authorId="0" shapeId="0" xr:uid="{00000000-0006-0000-0200-00000B000000}">
      <text>
        <r>
          <rPr>
            <sz val="10"/>
            <color rgb="FF000000"/>
            <rFont val="Arial"/>
            <scheme val="minor"/>
          </rPr>
          <t>WinuE:
Precio Unitario sin IVA</t>
        </r>
      </text>
    </comment>
    <comment ref="F5" authorId="0" shapeId="0" xr:uid="{00000000-0006-0000-0200-000001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I5" authorId="0" shapeId="0" xr:uid="{00000000-0006-0000-0200-000003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L5" authorId="0" shapeId="0" xr:uid="{00000000-0006-0000-0200-000004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O5" authorId="0" shapeId="0" xr:uid="{00000000-0006-0000-0200-000006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A20" authorId="0" shapeId="0" xr:uid="{00000000-0006-0000-0200-00000A000000}">
      <text>
        <r>
          <rPr>
            <sz val="10"/>
            <color rgb="FF000000"/>
            <rFont val="Arial"/>
            <scheme val="minor"/>
          </rPr>
          <t>install:
Este Costo Unitario, es Total, el detalle o estructura del Costo, se refleja en Plan de Producción.</t>
        </r>
      </text>
    </comment>
    <comment ref="A55" authorId="0" shapeId="0" xr:uid="{00000000-0006-0000-0200-000007000000}">
      <text>
        <r>
          <rPr>
            <sz val="10"/>
            <color rgb="FF000000"/>
            <rFont val="Arial"/>
            <scheme val="minor"/>
          </rPr>
          <t>install:
El Costo que se refleja en esta Tabla es anual.</t>
        </r>
      </text>
    </comment>
    <comment ref="A64" authorId="0" shapeId="0" xr:uid="{00000000-0006-0000-0200-000002000000}">
      <text>
        <r>
          <rPr>
            <sz val="10"/>
            <color rgb="FF000000"/>
            <rFont val="Arial"/>
            <scheme val="minor"/>
          </rPr>
          <t>install:
Gastos Generales varían de acuerdo a cada iniciativa. Incluir Gastos de Mantenimientos, Alquiler si aplica, Papelería, Combustible para comercialización y cualquier otro gasto que se realiza a lo largo del año. Los Gastos son anuales, ejemplo: Si el alquiler tiene un gasto mensual de 500 dólares, el dato que debe reflejarse es  US $ 6000.00</t>
        </r>
      </text>
    </comment>
    <comment ref="A73" authorId="0" shapeId="0" xr:uid="{00000000-0006-0000-0200-000005000000}">
      <text>
        <r>
          <rPr>
            <sz val="10"/>
            <color rgb="FF000000"/>
            <rFont val="Arial"/>
            <scheme val="minor"/>
          </rPr>
          <t>install:
Es recomendable consultar sobre renovación de Matrícula, de acuerdo a forma de constitución. Porcentajes pueden variar.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300-000001000000}">
      <text>
        <r>
          <rPr>
            <sz val="10"/>
            <color rgb="FF000000"/>
            <rFont val="Arial"/>
            <scheme val="minor"/>
          </rPr>
          <t>install:
Modificar lo que está sombreado en amarillo. 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400-000002000000}">
      <text>
        <r>
          <rPr>
            <sz val="10"/>
            <color rgb="FF000000"/>
            <rFont val="Arial"/>
            <scheme val="minor"/>
          </rPr>
          <t xml:space="preserve">usuario:
Agregrar Manualmente la Tasa de Descuento en la formula Excel)
</t>
        </r>
      </text>
    </comment>
    <comment ref="B29" authorId="0" shapeId="0" xr:uid="{00000000-0006-0000-0400-000001000000}">
      <text>
        <r>
          <rPr>
            <sz val="10"/>
            <color rgb="FF000000"/>
            <rFont val="Arial"/>
            <scheme val="minor"/>
          </rPr>
          <t>usuario:
Agregar Manualmente la Tasa de Descuento.</t>
        </r>
      </text>
    </comment>
    <comment ref="A36" authorId="0" shapeId="0" xr:uid="{00000000-0006-0000-0400-000003000000}">
      <text>
        <r>
          <rPr>
            <sz val="10"/>
            <color rgb="FF000000"/>
            <rFont val="Arial"/>
            <scheme val="minor"/>
          </rPr>
          <t xml:space="preserve">usuario:
Ajustar calculo en la hoja excel. Cada caso es diferente.
</t>
        </r>
      </text>
    </comment>
  </commentList>
</comments>
</file>

<file path=xl/sharedStrings.xml><?xml version="1.0" encoding="utf-8"?>
<sst xmlns="http://schemas.openxmlformats.org/spreadsheetml/2006/main" count="414" uniqueCount="213">
  <si>
    <t>SUPUESTOS</t>
  </si>
  <si>
    <t>Crecimiento Anual:</t>
  </si>
  <si>
    <t>VENTAS</t>
  </si>
  <si>
    <t>Concepto</t>
  </si>
  <si>
    <t>REQUERIMIENTOS DE INFORMACIÓN PARA TRABAJAR LA HOJA EXCEL</t>
  </si>
  <si>
    <t xml:space="preserve">Inversión total </t>
  </si>
  <si>
    <t>Financiamiento</t>
  </si>
  <si>
    <t>Año 1</t>
  </si>
  <si>
    <t>Tabla de amortización de préstamo</t>
  </si>
  <si>
    <t>No</t>
  </si>
  <si>
    <t>Año 2</t>
  </si>
  <si>
    <t>Datos</t>
  </si>
  <si>
    <t>Cálculo Cuota Préstamo</t>
  </si>
  <si>
    <t>Año 3</t>
  </si>
  <si>
    <t>Fuente</t>
  </si>
  <si>
    <t>Año 4</t>
  </si>
  <si>
    <t>Observación</t>
  </si>
  <si>
    <t>Hoja Excel</t>
  </si>
  <si>
    <t>Año 5</t>
  </si>
  <si>
    <t>Alimenta</t>
  </si>
  <si>
    <t>Monto</t>
  </si>
  <si>
    <t>Fondos Propios</t>
  </si>
  <si>
    <t>Préstamos</t>
  </si>
  <si>
    <t>Unidades a vender por año</t>
  </si>
  <si>
    <t>Período</t>
  </si>
  <si>
    <t>Línea de productos</t>
  </si>
  <si>
    <t>PMercadeo</t>
  </si>
  <si>
    <t>Cuota</t>
  </si>
  <si>
    <t>Punto de Cuota de mercado a 5 años</t>
  </si>
  <si>
    <t>Interés</t>
  </si>
  <si>
    <t>Unidades</t>
  </si>
  <si>
    <t>Capital</t>
  </si>
  <si>
    <t>Saldo</t>
  </si>
  <si>
    <t>Supuestos de Ventas y Costos</t>
  </si>
  <si>
    <t>Precio unit</t>
  </si>
  <si>
    <t>Estado Resultado, Punto Equilibrio, Razones Financieras.</t>
  </si>
  <si>
    <t>Total</t>
  </si>
  <si>
    <t>Mano de OBRA DIRECTA</t>
  </si>
  <si>
    <t>Precio unitario</t>
  </si>
  <si>
    <t>Año 1 / Mes</t>
  </si>
  <si>
    <t>Precio de Venta sin IVA</t>
  </si>
  <si>
    <t>Año 2 / Mes</t>
  </si>
  <si>
    <t>Precio de Venta de 5 años</t>
  </si>
  <si>
    <t>Año 3 / Mes</t>
  </si>
  <si>
    <t>Año 4 / Mes</t>
  </si>
  <si>
    <t>Año 5 / Mes</t>
  </si>
  <si>
    <t>Estimaciones de Ventas</t>
  </si>
  <si>
    <t>La Hoja excel lo hace para cada línea y da el total por año en supuestos de ventas y costos;  posteriormente alimenta en Efinancieros al Estado de Resultado las ventas.</t>
  </si>
  <si>
    <t>Presupuesto de Mercadeo</t>
  </si>
  <si>
    <t>Presupuesto de Mercadeo, es una cuenta de Gastos Generales.</t>
  </si>
  <si>
    <t>Interés Anual</t>
  </si>
  <si>
    <t>Estado Resultado, Punto Equilibrio.</t>
  </si>
  <si>
    <t>Activos Fijos x Linea</t>
  </si>
  <si>
    <t>Pproducción</t>
  </si>
  <si>
    <t>Lista de Activos Fijos (Terrenos, Edificio, Maquinaria, Herramientas, Mobiliario de Oficina, Equipo Cómputo, Equipo Reparto, Otros.</t>
  </si>
  <si>
    <t>Cant</t>
  </si>
  <si>
    <t>Supuestos de Inversión</t>
  </si>
  <si>
    <t>VAN, TIR, Relacion Beneficio Costo, Razones Financieras, Balance General, Flujo de Caja</t>
  </si>
  <si>
    <t>Salario</t>
  </si>
  <si>
    <t>Depreciación Activos Fijos x Línea</t>
  </si>
  <si>
    <t>Depreciación Activos (Ley Equidad Fiscal)</t>
  </si>
  <si>
    <t>Supuestos Ventas, precisamente los Gastos Generales, VAN, TIR, Punto Equilibrio, B General.</t>
  </si>
  <si>
    <t>Plazo en Meses</t>
  </si>
  <si>
    <t>Mantenimiento y reparación Activos</t>
  </si>
  <si>
    <t>Va al Gasto General</t>
  </si>
  <si>
    <t>Gasto General.</t>
  </si>
  <si>
    <t>Alquiler</t>
  </si>
  <si>
    <t>Permisos y licencias</t>
  </si>
  <si>
    <t>Renovación activos</t>
  </si>
  <si>
    <t>Demas Gastos Generales</t>
  </si>
  <si>
    <t xml:space="preserve"> </t>
  </si>
  <si>
    <t>Cargos, número de colaboradores y su salario mensual, más la proyección de incremento durante 5 años</t>
  </si>
  <si>
    <t>Calculo Mano de Obra Anual con Prestaciones</t>
  </si>
  <si>
    <t>SALARIOS</t>
  </si>
  <si>
    <t>Material Directo x Unidad de Venta</t>
  </si>
  <si>
    <t>Seguros</t>
  </si>
  <si>
    <t>Estimar Mdirecto e Indirecto por cada unidad de venta, para calcular el costo de venta por línea y el costo de venta anual que pasa al ER</t>
  </si>
  <si>
    <t>Gastos Preoperativos</t>
  </si>
  <si>
    <t>POrganización</t>
  </si>
  <si>
    <t>Plan de Inversión</t>
  </si>
  <si>
    <t>Supuestos de Inversion</t>
  </si>
  <si>
    <t>BG, Inversion Total.</t>
  </si>
  <si>
    <t>Definir el capital de trabajo</t>
  </si>
  <si>
    <t>PFinanzas</t>
  </si>
  <si>
    <t>La hoja excel estima los costos y gastos del primer mes de operación que son efectivos (Suma Costo de Venta + Mano de Obra+ Gastos Generales)</t>
  </si>
  <si>
    <t>Inversión Total</t>
  </si>
  <si>
    <t>Cuota Total</t>
  </si>
  <si>
    <t>Equipo de Oficina</t>
  </si>
  <si>
    <t>Capital de Trabajo:</t>
  </si>
  <si>
    <t>Capital Trabajo</t>
  </si>
  <si>
    <t>zapatos</t>
  </si>
  <si>
    <t>AÑO 1</t>
  </si>
  <si>
    <t>Gastos pre operativos</t>
  </si>
  <si>
    <t>Calculo de Rentabilidad Proyectada</t>
  </si>
  <si>
    <t>Crec. Unid.:</t>
  </si>
  <si>
    <t xml:space="preserve"> Crec. Unid.:</t>
  </si>
  <si>
    <t>Totales:</t>
  </si>
  <si>
    <t>Crec. Precio:</t>
  </si>
  <si>
    <t xml:space="preserve"> Crec. Precio:</t>
  </si>
  <si>
    <t>Ventas</t>
  </si>
  <si>
    <t>Aporte</t>
  </si>
  <si>
    <t>DETALLE COSTO BRUTO POR PRODUCCIÓN  AL MES</t>
  </si>
  <si>
    <t xml:space="preserve">Costo de los bienes vendidos </t>
  </si>
  <si>
    <t>Costo</t>
  </si>
  <si>
    <t>Total por año</t>
  </si>
  <si>
    <t>Utilidad Bruta</t>
  </si>
  <si>
    <t>Materia prima</t>
  </si>
  <si>
    <t>Fuente: Elaboracion propia</t>
  </si>
  <si>
    <t xml:space="preserve">Total </t>
  </si>
  <si>
    <t>Gastos Generales (sin depreciación)</t>
  </si>
  <si>
    <t>AÑO 2</t>
  </si>
  <si>
    <t>Gastos Administración</t>
  </si>
  <si>
    <t>Porcentaje de Incremento Anual Estimado</t>
  </si>
  <si>
    <t>Mano de OBRA INDIRECTA</t>
  </si>
  <si>
    <t>Depreciación</t>
  </si>
  <si>
    <t>COSTO BRUTO</t>
  </si>
  <si>
    <t xml:space="preserve">Amortización Gastos Preoperativos </t>
  </si>
  <si>
    <t>Líneas de productos</t>
  </si>
  <si>
    <t>Costo unitario</t>
  </si>
  <si>
    <t>Total Gastos de Operación</t>
  </si>
  <si>
    <t>Utilidad de Operación</t>
  </si>
  <si>
    <t>Intereses pagados</t>
  </si>
  <si>
    <t>AÑO 3</t>
  </si>
  <si>
    <t>Utilidad antes de impuestos</t>
  </si>
  <si>
    <t>Impuestos 30% IR</t>
  </si>
  <si>
    <t>Utilidad neta</t>
  </si>
  <si>
    <t>Total anual</t>
  </si>
  <si>
    <t>Detalle del costo del personal con las prestaciones sociales M.O.D.</t>
  </si>
  <si>
    <t>AÑO 4</t>
  </si>
  <si>
    <t>Costo personal</t>
  </si>
  <si>
    <t>Flujo de fondos</t>
  </si>
  <si>
    <t>AÑO 0</t>
  </si>
  <si>
    <t>AÑO 5</t>
  </si>
  <si>
    <t>Empleados</t>
  </si>
  <si>
    <t>Utilidad contable</t>
  </si>
  <si>
    <t>Salarios</t>
  </si>
  <si>
    <t>Crecimiento anual</t>
  </si>
  <si>
    <t>Amortización</t>
  </si>
  <si>
    <t>Prestaciones + seguridad social</t>
  </si>
  <si>
    <t xml:space="preserve">Total costo personal </t>
  </si>
  <si>
    <t>STAFF (Externo)</t>
  </si>
  <si>
    <t>Prestaciones y Regimen Social están calculadas como un 45% sobre el salario de empleados (1 inss, 8.33 por tres (aguinaldo,vacaciones, indemnizacion), 2 inatec)</t>
  </si>
  <si>
    <t>VAN al 18%</t>
  </si>
  <si>
    <t>Detalle del costo del personal con las prestaciones sociales M.O.I.</t>
  </si>
  <si>
    <t>TIR</t>
  </si>
  <si>
    <t>Tasa de descuento</t>
  </si>
  <si>
    <t xml:space="preserve">               FACTOR DE DESCUENTO</t>
  </si>
  <si>
    <t xml:space="preserve">Salarios </t>
  </si>
  <si>
    <t xml:space="preserve">                         </t>
  </si>
  <si>
    <t xml:space="preserve">Prestaciones + seguridad social </t>
  </si>
  <si>
    <t>Staff (Asesor Legal)</t>
  </si>
  <si>
    <t>FLUJO DE FONDOS DESCONTADOS POR AÑO</t>
  </si>
  <si>
    <t>Total costo personal</t>
  </si>
  <si>
    <t>RELACION BENEFICIO COSTO</t>
  </si>
  <si>
    <t>Prestaciones y Regimen Social están calculadas como un 44% sobre el salario de empleados (6.25 inss, 8.33 por tres (aguinaldo,vacaciones, indemnizacion), 2 inatec)</t>
  </si>
  <si>
    <t xml:space="preserve">Periodo de Recuperacion </t>
  </si>
  <si>
    <t>Gastos generales</t>
  </si>
  <si>
    <t>Gastos de Administracion (M.O.Indirecta)</t>
  </si>
  <si>
    <t>Gastos Generales</t>
  </si>
  <si>
    <t>Detalles</t>
  </si>
  <si>
    <t>Razones Financieras</t>
  </si>
  <si>
    <t>Servicios básicos (agua, luz telef, internet)</t>
  </si>
  <si>
    <t>Rentabilidad sobre ventas</t>
  </si>
  <si>
    <t>Rentabilidad sobre inversion</t>
  </si>
  <si>
    <t xml:space="preserve">2% sobre ventas </t>
  </si>
  <si>
    <t>Gastos de Internación de Mercancia</t>
  </si>
  <si>
    <t>Matricula alcaldia (2%)</t>
  </si>
  <si>
    <t>Punto de equilibrio (U$)</t>
  </si>
  <si>
    <t>Detalle</t>
  </si>
  <si>
    <t>Porcentaje sobre ventas %</t>
  </si>
  <si>
    <t>Gastos Generales sin depreciación</t>
  </si>
  <si>
    <t xml:space="preserve">Punto de Equilibrio </t>
  </si>
  <si>
    <t xml:space="preserve">Ventas </t>
  </si>
  <si>
    <t>Costos Fijos</t>
  </si>
  <si>
    <t>Mano de Obra Directa</t>
  </si>
  <si>
    <t>Impuestos</t>
  </si>
  <si>
    <t>Costos Variables</t>
  </si>
  <si>
    <t>Costo de Venta (sin M.O.D.)</t>
  </si>
  <si>
    <t>Flujo de caja</t>
  </si>
  <si>
    <t>Saldo inicial</t>
  </si>
  <si>
    <t>Ingresos (Utilidad contable)</t>
  </si>
  <si>
    <t>Egresos</t>
  </si>
  <si>
    <t>Saldo final</t>
  </si>
  <si>
    <t>Balance general</t>
  </si>
  <si>
    <t>ACTIVOS</t>
  </si>
  <si>
    <t>Activos circulantes</t>
  </si>
  <si>
    <t>Caja y bancos</t>
  </si>
  <si>
    <t>Activo fijo</t>
  </si>
  <si>
    <t>Terreno y Edificio</t>
  </si>
  <si>
    <t>Otros Equipos y Utensilios</t>
  </si>
  <si>
    <t>Depreciación acumulada</t>
  </si>
  <si>
    <t>Activo Diferido</t>
  </si>
  <si>
    <t>Pre-Operativos (Constitución y Legalización)</t>
  </si>
  <si>
    <t>Amortización Diferidos</t>
  </si>
  <si>
    <t>Total de activos diferidos</t>
  </si>
  <si>
    <t>Total de activos</t>
  </si>
  <si>
    <t>PASIVOS</t>
  </si>
  <si>
    <t>Pasivo largo plazo</t>
  </si>
  <si>
    <t>Prestamo largo plazo</t>
  </si>
  <si>
    <t>CAPITAL</t>
  </si>
  <si>
    <t>Capital social</t>
  </si>
  <si>
    <t>Utilidad acumulada</t>
  </si>
  <si>
    <t>Utilidad del periodo</t>
  </si>
  <si>
    <t>Total pasivo mas capital</t>
  </si>
  <si>
    <t>Suscripción Mensual</t>
  </si>
  <si>
    <t>Laptop</t>
  </si>
  <si>
    <t>Dispositivos de Prueba (Tableta/Smartphone)</t>
  </si>
  <si>
    <t>Dominio web (.com / .ni)</t>
  </si>
  <si>
    <t>Activos tangibles</t>
  </si>
  <si>
    <t>Activos intangibles</t>
  </si>
  <si>
    <t>Registro de propiedad intelectual (MIFIC)</t>
  </si>
  <si>
    <t>Director e Ingeniero Full-Stack</t>
  </si>
  <si>
    <t>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</si>
</sst>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([$$-540A]* #,##0.00_);_([$$-540A]* \(#,##0.00\);_([$$-540A]* &quot;-&quot;??_);_(@_)"/>
    <numFmt numFmtId="168" formatCode="_(* #,##0_);_(* \(#,##0\);_(* &quot;-&quot;??_);_(@_)"/>
    <numFmt numFmtId="169" formatCode="&quot;$&quot;#,##0.00_);[Red]\(&quot;$&quot;#,##0.00\)"/>
    <numFmt numFmtId="170" formatCode="\$\ #,##0.00"/>
    <numFmt numFmtId="171" formatCode="0.0000"/>
    <numFmt numFmtId="172" formatCode="_ * #,##0.00_ ;_ * \-#,##0.00_ ;_ * &quot;-&quot;??_ ;_ @_ 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Arial"/>
    </font>
    <font>
      <b/>
      <sz val="10"/>
      <color rgb="FFFF0000"/>
      <name val="Arial"/>
    </font>
    <font>
      <b/>
      <sz val="12"/>
      <color theme="1"/>
      <name val="Arial"/>
    </font>
    <font>
      <b/>
      <sz val="16"/>
      <color theme="1"/>
      <name val="Arial"/>
    </font>
    <font>
      <b/>
      <sz val="9"/>
      <color rgb="FFFF0000"/>
      <name val="Arial"/>
    </font>
    <font>
      <sz val="9"/>
      <color theme="1"/>
      <name val="Arial"/>
    </font>
    <font>
      <b/>
      <i/>
      <sz val="10"/>
      <color theme="1"/>
      <name val="Arial"/>
    </font>
    <font>
      <sz val="8"/>
      <color theme="1"/>
      <name val="Arial"/>
    </font>
    <font>
      <sz val="10"/>
      <color rgb="FFFF0000"/>
      <name val="Arial"/>
    </font>
    <font>
      <b/>
      <sz val="10"/>
      <color rgb="FF333399"/>
      <name val="Arial"/>
    </font>
    <font>
      <b/>
      <sz val="11"/>
      <color theme="1"/>
      <name val="Arial"/>
    </font>
    <font>
      <b/>
      <sz val="10"/>
      <color rgb="FF0066CC"/>
      <name val="Arial"/>
    </font>
    <font>
      <sz val="10"/>
      <color rgb="FF333399"/>
      <name val="Arial"/>
    </font>
    <font>
      <sz val="10"/>
      <color rgb="FF0066CC"/>
      <name val="Arial"/>
    </font>
    <font>
      <b/>
      <sz val="10"/>
      <color rgb="FF1F497D"/>
      <name val="Arial"/>
    </font>
    <font>
      <sz val="11"/>
      <color theme="1"/>
      <name val="Arial"/>
    </font>
    <font>
      <sz val="10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76923C"/>
        <bgColor rgb="FF76923C"/>
      </patternFill>
    </fill>
    <fill>
      <patternFill patternType="solid">
        <fgColor rgb="FF99CC00"/>
        <bgColor rgb="FF99CC0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theme="8"/>
      </left>
      <right/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ck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8DB3E2"/>
      </left>
      <right style="thin">
        <color theme="8"/>
      </right>
      <top style="thin">
        <color rgb="FF8DB3E2"/>
      </top>
      <bottom/>
      <diagonal/>
    </border>
    <border>
      <left style="thin">
        <color theme="8"/>
      </left>
      <right style="thin">
        <color theme="8"/>
      </right>
      <top style="thin">
        <color rgb="FF8DB3E2"/>
      </top>
      <bottom/>
      <diagonal/>
    </border>
    <border>
      <left style="thin">
        <color theme="8"/>
      </left>
      <right style="thin">
        <color rgb="FF8DB3E2"/>
      </right>
      <top style="thin">
        <color rgb="FF8DB3E2"/>
      </top>
      <bottom/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theme="8"/>
      </bottom>
      <diagonal/>
    </border>
    <border>
      <left/>
      <right style="thin">
        <color rgb="FF8DB3E2"/>
      </right>
      <top style="thin">
        <color rgb="FF8DB3E2"/>
      </top>
      <bottom/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8DB3E2"/>
      </left>
      <right style="thin">
        <color rgb="FF8DB3E2"/>
      </right>
      <top style="thin">
        <color theme="8"/>
      </top>
      <bottom style="thin">
        <color rgb="FF8DB3E2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rgb="FF8DB3E2"/>
      </right>
      <top/>
      <bottom style="thin">
        <color theme="8"/>
      </bottom>
      <diagonal/>
    </border>
    <border>
      <left/>
      <right style="thin">
        <color rgb="FF8DB3E2"/>
      </right>
      <top/>
      <bottom style="thin">
        <color theme="8"/>
      </bottom>
      <diagonal/>
    </border>
    <border>
      <left style="thin">
        <color theme="8"/>
      </left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rgb="FFC6D9F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rgb="FFC6D9F0"/>
      </bottom>
      <diagonal/>
    </border>
    <border>
      <left style="thin">
        <color rgb="FF000000"/>
      </left>
      <right/>
      <top style="thin">
        <color rgb="FFC6D9F0"/>
      </top>
      <bottom/>
      <diagonal/>
    </border>
    <border>
      <left/>
      <right/>
      <top style="thin">
        <color rgb="FFC6D9F0"/>
      </top>
      <bottom/>
      <diagonal/>
    </border>
    <border>
      <left/>
      <right style="thin">
        <color rgb="FF000000"/>
      </right>
      <top style="thin">
        <color rgb="FFC6D9F0"/>
      </top>
      <bottom/>
      <diagonal/>
    </border>
    <border>
      <left style="medium">
        <color theme="8"/>
      </left>
      <right style="thin">
        <color rgb="FFB6DDE8"/>
      </right>
      <top style="thin">
        <color rgb="FFB6DDE8"/>
      </top>
      <bottom style="thin">
        <color rgb="FFB6DDE8"/>
      </bottom>
      <diagonal/>
    </border>
    <border>
      <left/>
      <right/>
      <top style="thin">
        <color rgb="FFC6D9F0"/>
      </top>
      <bottom/>
      <diagonal/>
    </border>
    <border>
      <left style="thin">
        <color rgb="FFC6D9F0"/>
      </left>
      <right/>
      <top style="thin">
        <color rgb="FFC6D9F0"/>
      </top>
      <bottom style="thin">
        <color rgb="FFC6D9F0"/>
      </bottom>
      <diagonal/>
    </border>
    <border>
      <left/>
      <right/>
      <top style="thin">
        <color rgb="FFC6D9F0"/>
      </top>
      <bottom style="thin">
        <color rgb="FFC6D9F0"/>
      </bottom>
      <diagonal/>
    </border>
    <border>
      <left/>
      <right style="thin">
        <color rgb="FFC6D9F0"/>
      </right>
      <top style="thin">
        <color rgb="FFC6D9F0"/>
      </top>
      <bottom style="thin">
        <color rgb="FFC6D9F0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medium">
        <color theme="8"/>
      </right>
      <top style="medium">
        <color theme="8"/>
      </top>
      <bottom style="thin">
        <color theme="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33CCCC"/>
      </left>
      <right style="thin">
        <color rgb="FF33CCCC"/>
      </right>
      <top style="thin">
        <color rgb="FF33CCCC"/>
      </top>
      <bottom/>
      <diagonal/>
    </border>
    <border>
      <left style="medium">
        <color theme="8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8"/>
      </left>
      <right style="thin">
        <color theme="0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theme="0"/>
      </bottom>
      <diagonal/>
    </border>
    <border>
      <left style="thin">
        <color theme="8"/>
      </left>
      <right/>
      <top/>
      <bottom style="thin">
        <color rgb="FF8DB3E2"/>
      </bottom>
      <diagonal/>
    </border>
    <border>
      <left style="thin">
        <color theme="8"/>
      </left>
      <right style="thin">
        <color rgb="FF8DB3E2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38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0" fontId="4" fillId="3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/>
    <xf numFmtId="0" fontId="4" fillId="0" borderId="0" xfId="0" applyFont="1" applyAlignment="1"/>
    <xf numFmtId="0" fontId="5" fillId="0" borderId="0" xfId="0" applyFont="1" applyAlignment="1"/>
    <xf numFmtId="164" fontId="6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2" borderId="3" xfId="0" applyFont="1" applyFill="1" applyBorder="1" applyAlignment="1"/>
    <xf numFmtId="0" fontId="1" fillId="2" borderId="3" xfId="0" applyFont="1" applyFill="1" applyBorder="1" applyAlignment="1">
      <alignment horizontal="right"/>
    </xf>
    <xf numFmtId="9" fontId="4" fillId="0" borderId="0" xfId="0" applyNumberFormat="1" applyFont="1" applyAlignment="1">
      <alignment horizontal="left"/>
    </xf>
    <xf numFmtId="0" fontId="1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/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" fillId="4" borderId="24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10" fillId="0" borderId="23" xfId="0" applyFont="1" applyBorder="1" applyAlignment="1">
      <alignment vertical="center" wrapText="1"/>
    </xf>
    <xf numFmtId="0" fontId="1" fillId="4" borderId="25" xfId="0" applyFont="1" applyFill="1" applyBorder="1" applyAlignment="1">
      <alignment horizontal="center"/>
    </xf>
    <xf numFmtId="0" fontId="10" fillId="0" borderId="26" xfId="0" applyFont="1" applyBorder="1" applyAlignment="1">
      <alignment vertical="center" wrapText="1"/>
    </xf>
    <xf numFmtId="0" fontId="1" fillId="2" borderId="11" xfId="0" applyFont="1" applyFill="1" applyBorder="1" applyAlignment="1">
      <alignment vertical="center"/>
    </xf>
    <xf numFmtId="165" fontId="1" fillId="2" borderId="27" xfId="0" applyNumberFormat="1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/>
    </xf>
    <xf numFmtId="0" fontId="1" fillId="2" borderId="29" xfId="0" applyFont="1" applyFill="1" applyBorder="1" applyAlignment="1"/>
    <xf numFmtId="0" fontId="4" fillId="2" borderId="11" xfId="0" applyFont="1" applyFill="1" applyBorder="1" applyAlignment="1">
      <alignment horizontal="left" vertical="center"/>
    </xf>
    <xf numFmtId="165" fontId="1" fillId="2" borderId="30" xfId="0" applyNumberFormat="1" applyFont="1" applyFill="1" applyBorder="1" applyAlignment="1"/>
    <xf numFmtId="1" fontId="4" fillId="3" borderId="25" xfId="0" applyNumberFormat="1" applyFont="1" applyFill="1" applyBorder="1" applyAlignment="1">
      <alignment horizontal="center" vertical="center"/>
    </xf>
    <xf numFmtId="165" fontId="4" fillId="3" borderId="25" xfId="0" applyNumberFormat="1" applyFont="1" applyFill="1" applyBorder="1" applyAlignment="1">
      <alignment horizontal="center" vertical="center"/>
    </xf>
    <xf numFmtId="165" fontId="1" fillId="2" borderId="31" xfId="0" applyNumberFormat="1" applyFont="1" applyFill="1" applyBorder="1" applyAlignment="1"/>
    <xf numFmtId="165" fontId="4" fillId="0" borderId="25" xfId="0" applyNumberFormat="1" applyFont="1" applyBorder="1" applyAlignment="1"/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/>
    <xf numFmtId="165" fontId="4" fillId="2" borderId="31" xfId="0" applyNumberFormat="1" applyFont="1" applyFill="1" applyBorder="1" applyAlignment="1"/>
    <xf numFmtId="1" fontId="4" fillId="2" borderId="25" xfId="0" applyNumberFormat="1" applyFont="1" applyFill="1" applyBorder="1" applyAlignment="1">
      <alignment horizontal="center"/>
    </xf>
    <xf numFmtId="9" fontId="4" fillId="2" borderId="27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/>
    <xf numFmtId="166" fontId="4" fillId="2" borderId="25" xfId="0" applyNumberFormat="1" applyFont="1" applyFill="1" applyBorder="1" applyAlignment="1"/>
    <xf numFmtId="165" fontId="4" fillId="3" borderId="30" xfId="0" applyNumberFormat="1" applyFont="1" applyFill="1" applyBorder="1" applyAlignment="1"/>
    <xf numFmtId="165" fontId="4" fillId="3" borderId="25" xfId="0" applyNumberFormat="1" applyFont="1" applyFill="1" applyBorder="1" applyAlignment="1"/>
    <xf numFmtId="165" fontId="4" fillId="3" borderId="27" xfId="0" applyNumberFormat="1" applyFont="1" applyFill="1" applyBorder="1" applyAlignment="1"/>
    <xf numFmtId="166" fontId="4" fillId="0" borderId="25" xfId="0" applyNumberFormat="1" applyFont="1" applyBorder="1" applyAlignment="1"/>
    <xf numFmtId="1" fontId="4" fillId="2" borderId="25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165" fontId="4" fillId="2" borderId="25" xfId="0" applyNumberFormat="1" applyFont="1" applyFill="1" applyBorder="1" applyAlignment="1"/>
    <xf numFmtId="0" fontId="4" fillId="2" borderId="11" xfId="0" applyFont="1" applyFill="1" applyBorder="1" applyAlignment="1"/>
    <xf numFmtId="166" fontId="4" fillId="2" borderId="27" xfId="0" applyNumberFormat="1" applyFont="1" applyFill="1" applyBorder="1" applyAlignment="1"/>
    <xf numFmtId="1" fontId="4" fillId="3" borderId="25" xfId="0" applyNumberFormat="1" applyFont="1" applyFill="1" applyBorder="1" applyAlignment="1">
      <alignment horizontal="center"/>
    </xf>
    <xf numFmtId="167" fontId="4" fillId="3" borderId="25" xfId="0" applyNumberFormat="1" applyFont="1" applyFill="1" applyBorder="1" applyAlignment="1">
      <alignment horizontal="center"/>
    </xf>
    <xf numFmtId="1" fontId="4" fillId="2" borderId="25" xfId="0" applyNumberFormat="1" applyFont="1" applyFill="1" applyBorder="1" applyAlignment="1">
      <alignment horizontal="left"/>
    </xf>
    <xf numFmtId="165" fontId="4" fillId="2" borderId="27" xfId="0" applyNumberFormat="1" applyFont="1" applyFill="1" applyBorder="1" applyAlignment="1"/>
    <xf numFmtId="165" fontId="6" fillId="2" borderId="27" xfId="0" applyNumberFormat="1" applyFont="1" applyFill="1" applyBorder="1" applyAlignment="1">
      <alignment horizontal="center" vertical="center"/>
    </xf>
    <xf numFmtId="165" fontId="4" fillId="2" borderId="25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vertical="center"/>
    </xf>
    <xf numFmtId="165" fontId="4" fillId="2" borderId="27" xfId="0" applyNumberFormat="1" applyFont="1" applyFill="1" applyBorder="1" applyAlignment="1">
      <alignment horizontal="center"/>
    </xf>
    <xf numFmtId="0" fontId="1" fillId="2" borderId="11" xfId="0" applyFont="1" applyFill="1" applyBorder="1" applyAlignment="1"/>
    <xf numFmtId="165" fontId="1" fillId="2" borderId="25" xfId="0" applyNumberFormat="1" applyFont="1" applyFill="1" applyBorder="1" applyAlignment="1"/>
    <xf numFmtId="0" fontId="10" fillId="0" borderId="34" xfId="0" applyFont="1" applyBorder="1" applyAlignment="1">
      <alignment horizontal="center" vertical="center"/>
    </xf>
    <xf numFmtId="165" fontId="1" fillId="2" borderId="27" xfId="0" applyNumberFormat="1" applyFont="1" applyFill="1" applyBorder="1" applyAlignment="1"/>
    <xf numFmtId="0" fontId="10" fillId="0" borderId="35" xfId="0" applyFont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" fillId="2" borderId="24" xfId="0" applyFont="1" applyFill="1" applyBorder="1" applyAlignment="1">
      <alignment vertical="center"/>
    </xf>
    <xf numFmtId="165" fontId="1" fillId="2" borderId="22" xfId="0" applyNumberFormat="1" applyFont="1" applyFill="1" applyBorder="1" applyAlignment="1">
      <alignment horizontal="center" vertical="center"/>
    </xf>
    <xf numFmtId="1" fontId="4" fillId="3" borderId="3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vertical="center" wrapText="1"/>
    </xf>
    <xf numFmtId="165" fontId="4" fillId="3" borderId="37" xfId="0" applyNumberFormat="1" applyFont="1" applyFill="1" applyBorder="1" applyAlignment="1">
      <alignment horizontal="center" vertical="center"/>
    </xf>
    <xf numFmtId="167" fontId="4" fillId="3" borderId="25" xfId="0" applyNumberFormat="1" applyFont="1" applyFill="1" applyBorder="1" applyAlignment="1">
      <alignment horizontal="center" vertical="center"/>
    </xf>
    <xf numFmtId="1" fontId="4" fillId="2" borderId="37" xfId="0" applyNumberFormat="1" applyFont="1" applyFill="1" applyBorder="1" applyAlignment="1">
      <alignment horizontal="center"/>
    </xf>
    <xf numFmtId="166" fontId="4" fillId="2" borderId="37" xfId="0" applyNumberFormat="1" applyFont="1" applyFill="1" applyBorder="1" applyAlignment="1"/>
    <xf numFmtId="166" fontId="4" fillId="0" borderId="39" xfId="0" applyNumberFormat="1" applyFont="1" applyBorder="1" applyAlignment="1"/>
    <xf numFmtId="1" fontId="4" fillId="2" borderId="3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left" vertical="center" wrapText="1"/>
    </xf>
    <xf numFmtId="165" fontId="4" fillId="3" borderId="25" xfId="0" applyNumberFormat="1" applyFont="1" applyFill="1" applyBorder="1" applyAlignment="1">
      <alignment horizontal="right" vertical="center"/>
    </xf>
    <xf numFmtId="166" fontId="4" fillId="2" borderId="40" xfId="0" applyNumberFormat="1" applyFont="1" applyFill="1" applyBorder="1" applyAlignment="1"/>
    <xf numFmtId="0" fontId="4" fillId="2" borderId="41" xfId="0" applyFont="1" applyFill="1" applyBorder="1" applyAlignment="1">
      <alignment horizontal="left" vertical="center"/>
    </xf>
    <xf numFmtId="0" fontId="1" fillId="3" borderId="3" xfId="0" applyFont="1" applyFill="1" applyBorder="1" applyAlignment="1"/>
    <xf numFmtId="165" fontId="4" fillId="3" borderId="27" xfId="0" applyNumberFormat="1" applyFont="1" applyFill="1" applyBorder="1" applyAlignment="1">
      <alignment horizontal="right" vertical="center"/>
    </xf>
    <xf numFmtId="1" fontId="4" fillId="0" borderId="25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left"/>
    </xf>
    <xf numFmtId="1" fontId="4" fillId="2" borderId="23" xfId="0" applyNumberFormat="1" applyFont="1" applyFill="1" applyBorder="1" applyAlignment="1">
      <alignment horizontal="center" vertical="center"/>
    </xf>
    <xf numFmtId="1" fontId="4" fillId="2" borderId="30" xfId="0" applyNumberFormat="1" applyFont="1" applyFill="1" applyBorder="1" applyAlignment="1">
      <alignment horizontal="center" vertical="center"/>
    </xf>
    <xf numFmtId="165" fontId="4" fillId="2" borderId="30" xfId="0" applyNumberFormat="1" applyFont="1" applyFill="1" applyBorder="1" applyAlignment="1">
      <alignment horizontal="center" vertical="center"/>
    </xf>
    <xf numFmtId="165" fontId="1" fillId="3" borderId="27" xfId="0" applyNumberFormat="1" applyFont="1" applyFill="1" applyBorder="1" applyAlignment="1"/>
    <xf numFmtId="1" fontId="4" fillId="2" borderId="30" xfId="0" applyNumberFormat="1" applyFont="1" applyFill="1" applyBorder="1" applyAlignment="1">
      <alignment horizontal="center"/>
    </xf>
    <xf numFmtId="166" fontId="4" fillId="2" borderId="30" xfId="0" applyNumberFormat="1" applyFont="1" applyFill="1" applyBorder="1" applyAlignment="1"/>
    <xf numFmtId="166" fontId="4" fillId="2" borderId="31" xfId="0" applyNumberFormat="1" applyFont="1" applyFill="1" applyBorder="1" applyAlignment="1"/>
    <xf numFmtId="165" fontId="13" fillId="3" borderId="27" xfId="0" applyNumberFormat="1" applyFont="1" applyFill="1" applyBorder="1" applyAlignment="1"/>
    <xf numFmtId="165" fontId="4" fillId="2" borderId="25" xfId="0" applyNumberFormat="1" applyFont="1" applyFill="1" applyBorder="1" applyAlignment="1">
      <alignment horizontal="center" vertical="center"/>
    </xf>
    <xf numFmtId="0" fontId="4" fillId="2" borderId="42" xfId="0" applyFont="1" applyFill="1" applyBorder="1" applyAlignment="1"/>
    <xf numFmtId="0" fontId="13" fillId="2" borderId="11" xfId="0" applyFont="1" applyFill="1" applyBorder="1" applyAlignment="1"/>
    <xf numFmtId="1" fontId="4" fillId="3" borderId="37" xfId="0" applyNumberFormat="1" applyFont="1" applyFill="1" applyBorder="1" applyAlignment="1">
      <alignment horizontal="center"/>
    </xf>
    <xf numFmtId="165" fontId="13" fillId="2" borderId="25" xfId="0" applyNumberFormat="1" applyFont="1" applyFill="1" applyBorder="1" applyAlignment="1"/>
    <xf numFmtId="167" fontId="4" fillId="3" borderId="37" xfId="0" applyNumberFormat="1" applyFont="1" applyFill="1" applyBorder="1" applyAlignment="1">
      <alignment horizontal="center"/>
    </xf>
    <xf numFmtId="165" fontId="13" fillId="2" borderId="27" xfId="0" applyNumberFormat="1" applyFont="1" applyFill="1" applyBorder="1" applyAlignment="1"/>
    <xf numFmtId="0" fontId="1" fillId="2" borderId="24" xfId="0" applyFont="1" applyFill="1" applyBorder="1" applyAlignment="1"/>
    <xf numFmtId="1" fontId="1" fillId="2" borderId="19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/>
    <xf numFmtId="165" fontId="6" fillId="2" borderId="19" xfId="0" applyNumberFormat="1" applyFont="1" applyFill="1" applyBorder="1" applyAlignment="1"/>
    <xf numFmtId="165" fontId="4" fillId="2" borderId="19" xfId="0" applyNumberFormat="1" applyFont="1" applyFill="1" applyBorder="1" applyAlignment="1"/>
    <xf numFmtId="166" fontId="6" fillId="2" borderId="19" xfId="0" applyNumberFormat="1" applyFont="1" applyFill="1" applyBorder="1" applyAlignment="1"/>
    <xf numFmtId="168" fontId="4" fillId="2" borderId="19" xfId="0" applyNumberFormat="1" applyFont="1" applyFill="1" applyBorder="1" applyAlignment="1"/>
    <xf numFmtId="0" fontId="4" fillId="4" borderId="11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1" fontId="4" fillId="2" borderId="19" xfId="0" applyNumberFormat="1" applyFont="1" applyFill="1" applyBorder="1" applyAlignment="1">
      <alignment horizontal="center"/>
    </xf>
    <xf numFmtId="165" fontId="4" fillId="2" borderId="19" xfId="0" applyNumberFormat="1" applyFont="1" applyFill="1" applyBorder="1" applyAlignment="1">
      <alignment horizontal="center"/>
    </xf>
    <xf numFmtId="0" fontId="5" fillId="2" borderId="3" xfId="0" applyFont="1" applyFill="1" applyBorder="1" applyAlignment="1"/>
    <xf numFmtId="166" fontId="6" fillId="2" borderId="22" xfId="0" applyNumberFormat="1" applyFont="1" applyFill="1" applyBorder="1" applyAlignment="1"/>
    <xf numFmtId="165" fontId="4" fillId="0" borderId="24" xfId="0" applyNumberFormat="1" applyFont="1" applyBorder="1" applyAlignment="1"/>
    <xf numFmtId="165" fontId="4" fillId="0" borderId="22" xfId="0" applyNumberFormat="1" applyFont="1" applyBorder="1" applyAlignment="1"/>
    <xf numFmtId="164" fontId="4" fillId="0" borderId="0" xfId="0" applyNumberFormat="1" applyFont="1" applyAlignment="1"/>
    <xf numFmtId="0" fontId="1" fillId="3" borderId="3" xfId="0" applyFont="1" applyFill="1" applyBorder="1" applyAlignment="1">
      <alignment horizontal="center"/>
    </xf>
    <xf numFmtId="10" fontId="14" fillId="3" borderId="3" xfId="0" applyNumberFormat="1" applyFont="1" applyFill="1" applyBorder="1" applyAlignment="1">
      <alignment horizontal="center"/>
    </xf>
    <xf numFmtId="165" fontId="4" fillId="0" borderId="0" xfId="0" applyNumberFormat="1" applyFont="1" applyAlignment="1"/>
    <xf numFmtId="0" fontId="1" fillId="3" borderId="3" xfId="0" applyFont="1" applyFill="1" applyBorder="1" applyAlignment="1">
      <alignment horizontal="right"/>
    </xf>
    <xf numFmtId="0" fontId="1" fillId="4" borderId="11" xfId="0" applyFont="1" applyFill="1" applyBorder="1" applyAlignment="1">
      <alignment horizontal="center"/>
    </xf>
    <xf numFmtId="0" fontId="1" fillId="4" borderId="24" xfId="0" applyFont="1" applyFill="1" applyBorder="1" applyAlignment="1"/>
    <xf numFmtId="0" fontId="4" fillId="2" borderId="11" xfId="0" applyFont="1" applyFill="1" applyBorder="1" applyAlignment="1">
      <alignment vertical="center"/>
    </xf>
    <xf numFmtId="1" fontId="1" fillId="4" borderId="19" xfId="0" applyNumberFormat="1" applyFont="1" applyFill="1" applyBorder="1" applyAlignment="1">
      <alignment horizontal="center"/>
    </xf>
    <xf numFmtId="0" fontId="4" fillId="2" borderId="25" xfId="0" applyFont="1" applyFill="1" applyBorder="1" applyAlignment="1"/>
    <xf numFmtId="0" fontId="1" fillId="2" borderId="3" xfId="0" applyFont="1" applyFill="1" applyBorder="1" applyAlignment="1">
      <alignment horizontal="center"/>
    </xf>
    <xf numFmtId="165" fontId="1" fillId="4" borderId="19" xfId="0" applyNumberFormat="1" applyFont="1" applyFill="1" applyBorder="1" applyAlignment="1"/>
    <xf numFmtId="10" fontId="14" fillId="2" borderId="3" xfId="0" applyNumberFormat="1" applyFont="1" applyFill="1" applyBorder="1" applyAlignment="1">
      <alignment horizontal="left"/>
    </xf>
    <xf numFmtId="0" fontId="4" fillId="2" borderId="25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9" fontId="4" fillId="2" borderId="3" xfId="0" applyNumberFormat="1" applyFont="1" applyFill="1" applyBorder="1" applyAlignment="1"/>
    <xf numFmtId="0" fontId="1" fillId="2" borderId="24" xfId="0" applyFont="1" applyFill="1" applyBorder="1" applyAlignment="1">
      <alignment horizontal="center"/>
    </xf>
    <xf numFmtId="9" fontId="1" fillId="2" borderId="19" xfId="0" applyNumberFormat="1" applyFont="1" applyFill="1" applyBorder="1" applyAlignment="1">
      <alignment horizontal="center"/>
    </xf>
    <xf numFmtId="0" fontId="15" fillId="2" borderId="3" xfId="0" applyFont="1" applyFill="1" applyBorder="1" applyAlignment="1"/>
    <xf numFmtId="9" fontId="16" fillId="2" borderId="25" xfId="0" applyNumberFormat="1" applyFont="1" applyFill="1" applyBorder="1" applyAlignment="1"/>
    <xf numFmtId="9" fontId="1" fillId="2" borderId="22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vertical="center"/>
    </xf>
    <xf numFmtId="0" fontId="1" fillId="4" borderId="11" xfId="0" applyFont="1" applyFill="1" applyBorder="1" applyAlignment="1"/>
    <xf numFmtId="165" fontId="1" fillId="4" borderId="25" xfId="0" applyNumberFormat="1" applyFont="1" applyFill="1" applyBorder="1" applyAlignment="1">
      <alignment horizontal="center"/>
    </xf>
    <xf numFmtId="0" fontId="1" fillId="4" borderId="3" xfId="0" applyFont="1" applyFill="1" applyBorder="1" applyAlignment="1"/>
    <xf numFmtId="165" fontId="1" fillId="4" borderId="27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165" fontId="1" fillId="2" borderId="11" xfId="0" applyNumberFormat="1" applyFont="1" applyFill="1" applyBorder="1" applyAlignment="1"/>
    <xf numFmtId="9" fontId="4" fillId="2" borderId="25" xfId="0" applyNumberFormat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9" fontId="4" fillId="2" borderId="3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/>
    <xf numFmtId="165" fontId="1" fillId="2" borderId="27" xfId="0" applyNumberFormat="1" applyFont="1" applyFill="1" applyBorder="1" applyAlignment="1">
      <alignment horizontal="center"/>
    </xf>
    <xf numFmtId="165" fontId="7" fillId="2" borderId="3" xfId="0" applyNumberFormat="1" applyFont="1" applyFill="1" applyBorder="1" applyAlignment="1"/>
    <xf numFmtId="0" fontId="1" fillId="0" borderId="24" xfId="0" applyFont="1" applyBorder="1" applyAlignment="1">
      <alignment horizontal="center" vertical="center"/>
    </xf>
    <xf numFmtId="9" fontId="4" fillId="3" borderId="27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 vertical="center"/>
    </xf>
    <xf numFmtId="9" fontId="1" fillId="2" borderId="19" xfId="0" applyNumberFormat="1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/>
    </xf>
    <xf numFmtId="9" fontId="1" fillId="2" borderId="2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65" fontId="17" fillId="2" borderId="3" xfId="0" applyNumberFormat="1" applyFont="1" applyFill="1" applyBorder="1" applyAlignment="1"/>
    <xf numFmtId="169" fontId="1" fillId="2" borderId="27" xfId="0" applyNumberFormat="1" applyFont="1" applyFill="1" applyBorder="1" applyAlignment="1">
      <alignment horizontal="center"/>
    </xf>
    <xf numFmtId="0" fontId="6" fillId="0" borderId="0" xfId="0" applyFont="1" applyAlignme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0" fontId="1" fillId="3" borderId="3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170" fontId="4" fillId="3" borderId="25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4" fillId="0" borderId="11" xfId="0" applyFont="1" applyBorder="1" applyAlignment="1"/>
    <xf numFmtId="1" fontId="4" fillId="0" borderId="25" xfId="0" applyNumberFormat="1" applyFont="1" applyBorder="1" applyAlignment="1">
      <alignment horizontal="center"/>
    </xf>
    <xf numFmtId="165" fontId="1" fillId="2" borderId="11" xfId="0" applyNumberFormat="1" applyFont="1" applyFill="1" applyBorder="1" applyAlignment="1">
      <alignment horizontal="left" vertical="center"/>
    </xf>
    <xf numFmtId="166" fontId="4" fillId="0" borderId="27" xfId="0" applyNumberFormat="1" applyFont="1" applyBorder="1" applyAlignment="1"/>
    <xf numFmtId="165" fontId="1" fillId="2" borderId="11" xfId="0" applyNumberFormat="1" applyFont="1" applyFill="1" applyBorder="1" applyAlignment="1">
      <alignment vertical="center"/>
    </xf>
    <xf numFmtId="1" fontId="4" fillId="0" borderId="11" xfId="0" applyNumberFormat="1" applyFont="1" applyBorder="1" applyAlignment="1"/>
    <xf numFmtId="1" fontId="4" fillId="0" borderId="39" xfId="0" applyNumberFormat="1" applyFont="1" applyBorder="1" applyAlignment="1">
      <alignment horizontal="center"/>
    </xf>
    <xf numFmtId="166" fontId="4" fillId="0" borderId="45" xfId="0" applyNumberFormat="1" applyFont="1" applyBorder="1" applyAlignment="1"/>
    <xf numFmtId="165" fontId="4" fillId="0" borderId="39" xfId="0" applyNumberFormat="1" applyFont="1" applyBorder="1" applyAlignment="1"/>
    <xf numFmtId="166" fontId="4" fillId="0" borderId="46" xfId="0" applyNumberFormat="1" applyFont="1" applyBorder="1" applyAlignment="1"/>
    <xf numFmtId="1" fontId="4" fillId="0" borderId="47" xfId="0" applyNumberFormat="1" applyFont="1" applyBorder="1" applyAlignment="1">
      <alignment horizontal="center"/>
    </xf>
    <xf numFmtId="166" fontId="4" fillId="0" borderId="48" xfId="0" applyNumberFormat="1" applyFont="1" applyBorder="1" applyAlignment="1"/>
    <xf numFmtId="165" fontId="7" fillId="0" borderId="0" xfId="0" applyNumberFormat="1" applyFont="1" applyAlignment="1"/>
    <xf numFmtId="1" fontId="4" fillId="0" borderId="48" xfId="0" applyNumberFormat="1" applyFont="1" applyBorder="1" applyAlignment="1">
      <alignment horizontal="center"/>
    </xf>
    <xf numFmtId="166" fontId="4" fillId="0" borderId="49" xfId="0" applyNumberFormat="1" applyFont="1" applyBorder="1" applyAlignment="1"/>
    <xf numFmtId="9" fontId="18" fillId="2" borderId="25" xfId="0" applyNumberFormat="1" applyFont="1" applyFill="1" applyBorder="1" applyAlignment="1"/>
    <xf numFmtId="165" fontId="4" fillId="0" borderId="12" xfId="0" applyNumberFormat="1" applyFont="1" applyBorder="1" applyAlignment="1"/>
    <xf numFmtId="165" fontId="4" fillId="0" borderId="50" xfId="0" applyNumberFormat="1" applyFont="1" applyBorder="1" applyAlignment="1"/>
    <xf numFmtId="1" fontId="4" fillId="0" borderId="51" xfId="0" applyNumberFormat="1" applyFont="1" applyBorder="1" applyAlignment="1">
      <alignment horizontal="center"/>
    </xf>
    <xf numFmtId="0" fontId="4" fillId="2" borderId="42" xfId="0" applyFont="1" applyFill="1" applyBorder="1" applyAlignment="1">
      <alignment horizontal="left" vertical="center"/>
    </xf>
    <xf numFmtId="0" fontId="4" fillId="3" borderId="37" xfId="0" applyFont="1" applyFill="1" applyBorder="1" applyAlignment="1">
      <alignment horizontal="center"/>
    </xf>
    <xf numFmtId="166" fontId="4" fillId="0" borderId="52" xfId="0" applyNumberFormat="1" applyFont="1" applyBorder="1" applyAlignment="1"/>
    <xf numFmtId="170" fontId="4" fillId="3" borderId="37" xfId="0" applyNumberFormat="1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168" fontId="4" fillId="0" borderId="52" xfId="0" applyNumberFormat="1" applyFont="1" applyBorder="1" applyAlignment="1"/>
    <xf numFmtId="165" fontId="4" fillId="2" borderId="37" xfId="0" applyNumberFormat="1" applyFont="1" applyFill="1" applyBorder="1" applyAlignment="1">
      <alignment horizontal="center"/>
    </xf>
    <xf numFmtId="166" fontId="4" fillId="0" borderId="53" xfId="0" applyNumberFormat="1" applyFont="1" applyBorder="1" applyAlignment="1"/>
    <xf numFmtId="165" fontId="4" fillId="2" borderId="54" xfId="0" applyNumberFormat="1" applyFont="1" applyFill="1" applyBorder="1" applyAlignment="1">
      <alignment horizontal="center"/>
    </xf>
    <xf numFmtId="165" fontId="4" fillId="0" borderId="55" xfId="0" applyNumberFormat="1" applyFont="1" applyBorder="1" applyAlignment="1"/>
    <xf numFmtId="1" fontId="4" fillId="0" borderId="52" xfId="0" applyNumberFormat="1" applyFont="1" applyBorder="1" applyAlignment="1">
      <alignment horizontal="center"/>
    </xf>
    <xf numFmtId="166" fontId="4" fillId="0" borderId="56" xfId="0" applyNumberFormat="1" applyFont="1" applyBorder="1" applyAlignment="1"/>
    <xf numFmtId="1" fontId="4" fillId="0" borderId="57" xfId="0" applyNumberFormat="1" applyFont="1" applyBorder="1" applyAlignment="1">
      <alignment horizontal="center"/>
    </xf>
    <xf numFmtId="166" fontId="4" fillId="0" borderId="57" xfId="0" applyNumberFormat="1" applyFont="1" applyBorder="1" applyAlignment="1"/>
    <xf numFmtId="166" fontId="4" fillId="0" borderId="58" xfId="0" applyNumberFormat="1" applyFont="1" applyBorder="1" applyAlignment="1"/>
    <xf numFmtId="166" fontId="4" fillId="0" borderId="59" xfId="0" applyNumberFormat="1" applyFont="1" applyBorder="1" applyAlignment="1"/>
    <xf numFmtId="1" fontId="4" fillId="0" borderId="56" xfId="0" applyNumberFormat="1" applyFont="1" applyBorder="1" applyAlignment="1">
      <alignment horizontal="center"/>
    </xf>
    <xf numFmtId="166" fontId="4" fillId="0" borderId="60" xfId="0" applyNumberFormat="1" applyFont="1" applyBorder="1" applyAlignment="1"/>
    <xf numFmtId="165" fontId="4" fillId="0" borderId="57" xfId="0" applyNumberFormat="1" applyFont="1" applyBorder="1" applyAlignment="1"/>
    <xf numFmtId="166" fontId="1" fillId="2" borderId="19" xfId="0" applyNumberFormat="1" applyFont="1" applyFill="1" applyBorder="1" applyAlignment="1"/>
    <xf numFmtId="166" fontId="1" fillId="2" borderId="22" xfId="0" applyNumberFormat="1" applyFont="1" applyFill="1" applyBorder="1" applyAlignment="1"/>
    <xf numFmtId="0" fontId="19" fillId="2" borderId="3" xfId="0" applyFont="1" applyFill="1" applyBorder="1" applyAlignment="1"/>
    <xf numFmtId="168" fontId="19" fillId="2" borderId="3" xfId="0" applyNumberFormat="1" applyFont="1" applyFill="1" applyBorder="1" applyAlignment="1"/>
    <xf numFmtId="165" fontId="19" fillId="2" borderId="3" xfId="0" applyNumberFormat="1" applyFont="1" applyFill="1" applyBorder="1" applyAlignment="1"/>
    <xf numFmtId="168" fontId="19" fillId="2" borderId="3" xfId="0" applyNumberFormat="1" applyFont="1" applyFill="1" applyBorder="1" applyAlignment="1">
      <alignment horizontal="center"/>
    </xf>
    <xf numFmtId="171" fontId="1" fillId="2" borderId="3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165" fontId="1" fillId="4" borderId="3" xfId="0" applyNumberFormat="1" applyFont="1" applyFill="1" applyBorder="1" applyAlignment="1"/>
    <xf numFmtId="0" fontId="1" fillId="2" borderId="62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 vertical="center"/>
    </xf>
    <xf numFmtId="165" fontId="4" fillId="2" borderId="22" xfId="0" applyNumberFormat="1" applyFont="1" applyFill="1" applyBorder="1" applyAlignment="1"/>
    <xf numFmtId="1" fontId="4" fillId="0" borderId="27" xfId="0" applyNumberFormat="1" applyFont="1" applyBorder="1" applyAlignment="1">
      <alignment horizontal="center"/>
    </xf>
    <xf numFmtId="167" fontId="4" fillId="2" borderId="25" xfId="0" applyNumberFormat="1" applyFont="1" applyFill="1" applyBorder="1" applyAlignment="1"/>
    <xf numFmtId="9" fontId="4" fillId="3" borderId="3" xfId="0" applyNumberFormat="1" applyFont="1" applyFill="1" applyBorder="1" applyAlignment="1"/>
    <xf numFmtId="4" fontId="1" fillId="0" borderId="0" xfId="0" applyNumberFormat="1" applyFont="1" applyAlignment="1">
      <alignment horizontal="center"/>
    </xf>
    <xf numFmtId="0" fontId="1" fillId="2" borderId="24" xfId="0" applyFont="1" applyFill="1" applyBorder="1" applyAlignment="1">
      <alignment horizontal="left" vertical="center"/>
    </xf>
    <xf numFmtId="165" fontId="1" fillId="2" borderId="25" xfId="0" applyNumberFormat="1" applyFont="1" applyFill="1" applyBorder="1" applyAlignment="1">
      <alignment horizontal="center"/>
    </xf>
    <xf numFmtId="9" fontId="4" fillId="0" borderId="0" xfId="0" applyNumberFormat="1" applyFont="1" applyAlignment="1"/>
    <xf numFmtId="167" fontId="1" fillId="2" borderId="19" xfId="0" applyNumberFormat="1" applyFont="1" applyFill="1" applyBorder="1" applyAlignment="1">
      <alignment horizontal="right" vertical="center" wrapText="1"/>
    </xf>
    <xf numFmtId="167" fontId="1" fillId="2" borderId="19" xfId="0" applyNumberFormat="1" applyFont="1" applyFill="1" applyBorder="1" applyAlignment="1">
      <alignment horizontal="center" vertical="center" wrapText="1"/>
    </xf>
    <xf numFmtId="167" fontId="1" fillId="2" borderId="22" xfId="0" applyNumberFormat="1" applyFont="1" applyFill="1" applyBorder="1" applyAlignment="1">
      <alignment horizontal="right" vertical="center" wrapText="1"/>
    </xf>
    <xf numFmtId="172" fontId="6" fillId="0" borderId="0" xfId="0" applyNumberFormat="1" applyFont="1" applyAlignment="1">
      <alignment horizontal="left"/>
    </xf>
    <xf numFmtId="164" fontId="1" fillId="0" borderId="0" xfId="0" applyNumberFormat="1" applyFont="1" applyAlignme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164" fontId="1" fillId="2" borderId="25" xfId="0" applyNumberFormat="1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9" fontId="1" fillId="2" borderId="25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68" xfId="0" applyFont="1" applyFill="1" applyBorder="1" applyAlignment="1"/>
    <xf numFmtId="0" fontId="1" fillId="2" borderId="69" xfId="0" applyFont="1" applyFill="1" applyBorder="1" applyAlignment="1">
      <alignment horizontal="center"/>
    </xf>
    <xf numFmtId="0" fontId="1" fillId="4" borderId="70" xfId="0" applyFont="1" applyFill="1" applyBorder="1" applyAlignment="1"/>
    <xf numFmtId="0" fontId="1" fillId="4" borderId="71" xfId="0" applyFont="1" applyFill="1" applyBorder="1" applyAlignment="1"/>
    <xf numFmtId="0" fontId="1" fillId="4" borderId="72" xfId="0" applyFont="1" applyFill="1" applyBorder="1" applyAlignment="1"/>
    <xf numFmtId="167" fontId="4" fillId="2" borderId="25" xfId="0" applyNumberFormat="1" applyFont="1" applyFill="1" applyBorder="1" applyAlignment="1">
      <alignment horizontal="center"/>
    </xf>
    <xf numFmtId="167" fontId="4" fillId="2" borderId="27" xfId="0" applyNumberFormat="1" applyFont="1" applyFill="1" applyBorder="1" applyAlignment="1"/>
    <xf numFmtId="164" fontId="4" fillId="0" borderId="57" xfId="0" applyNumberFormat="1" applyFont="1" applyBorder="1" applyAlignment="1">
      <alignment horizontal="center" vertical="center"/>
    </xf>
    <xf numFmtId="0" fontId="4" fillId="0" borderId="61" xfId="0" applyFont="1" applyBorder="1" applyAlignment="1"/>
    <xf numFmtId="167" fontId="4" fillId="3" borderId="37" xfId="0" applyNumberFormat="1" applyFont="1" applyFill="1" applyBorder="1" applyAlignment="1"/>
    <xf numFmtId="165" fontId="1" fillId="4" borderId="22" xfId="0" applyNumberFormat="1" applyFont="1" applyFill="1" applyBorder="1" applyAlignment="1"/>
    <xf numFmtId="167" fontId="4" fillId="3" borderId="40" xfId="0" applyNumberFormat="1" applyFont="1" applyFill="1" applyBorder="1" applyAlignment="1"/>
    <xf numFmtId="0" fontId="6" fillId="2" borderId="25" xfId="0" applyFont="1" applyFill="1" applyBorder="1" applyAlignment="1">
      <alignment horizontal="left"/>
    </xf>
    <xf numFmtId="164" fontId="6" fillId="2" borderId="73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67" fontId="4" fillId="2" borderId="3" xfId="0" applyNumberFormat="1" applyFont="1" applyFill="1" applyBorder="1" applyAlignment="1">
      <alignment horizontal="center"/>
    </xf>
    <xf numFmtId="164" fontId="4" fillId="2" borderId="25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/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164" fontId="6" fillId="2" borderId="25" xfId="0" applyNumberFormat="1" applyFont="1" applyFill="1" applyBorder="1" applyAlignment="1">
      <alignment horizontal="center"/>
    </xf>
    <xf numFmtId="0" fontId="1" fillId="2" borderId="74" xfId="0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horizontal="center" vertical="center"/>
    </xf>
    <xf numFmtId="165" fontId="1" fillId="2" borderId="75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center"/>
    </xf>
    <xf numFmtId="0" fontId="1" fillId="2" borderId="24" xfId="0" applyFont="1" applyFill="1" applyBorder="1" applyAlignment="1">
      <alignment vertical="center" wrapText="1"/>
    </xf>
    <xf numFmtId="3" fontId="1" fillId="2" borderId="3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vertical="center"/>
    </xf>
    <xf numFmtId="165" fontId="1" fillId="2" borderId="22" xfId="0" applyNumberFormat="1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/>
    </xf>
    <xf numFmtId="167" fontId="4" fillId="3" borderId="77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4" fillId="3" borderId="41" xfId="0" applyFont="1" applyFill="1" applyBorder="1" applyAlignment="1"/>
    <xf numFmtId="1" fontId="4" fillId="2" borderId="27" xfId="0" applyNumberFormat="1" applyFont="1" applyFill="1" applyBorder="1" applyAlignment="1">
      <alignment horizontal="center"/>
    </xf>
    <xf numFmtId="0" fontId="4" fillId="2" borderId="78" xfId="0" applyFont="1" applyFill="1" applyBorder="1" applyAlignment="1"/>
    <xf numFmtId="0" fontId="4" fillId="2" borderId="79" xfId="0" applyFont="1" applyFill="1" applyBorder="1" applyAlignment="1"/>
    <xf numFmtId="0" fontId="5" fillId="2" borderId="80" xfId="0" applyFont="1" applyFill="1" applyBorder="1" applyAlignment="1"/>
    <xf numFmtId="9" fontId="4" fillId="2" borderId="25" xfId="0" applyNumberFormat="1" applyFont="1" applyFill="1" applyBorder="1" applyAlignment="1">
      <alignment horizontal="center"/>
    </xf>
    <xf numFmtId="9" fontId="4" fillId="2" borderId="81" xfId="0" applyNumberFormat="1" applyFont="1" applyFill="1" applyBorder="1" applyAlignment="1">
      <alignment horizontal="center"/>
    </xf>
    <xf numFmtId="9" fontId="4" fillId="2" borderId="82" xfId="0" applyNumberFormat="1" applyFont="1" applyFill="1" applyBorder="1" applyAlignment="1">
      <alignment horizontal="center"/>
    </xf>
    <xf numFmtId="164" fontId="4" fillId="2" borderId="76" xfId="0" applyNumberFormat="1" applyFont="1" applyFill="1" applyBorder="1" applyAlignment="1"/>
    <xf numFmtId="0" fontId="6" fillId="2" borderId="3" xfId="0" applyFont="1" applyFill="1" applyBorder="1" applyAlignment="1"/>
    <xf numFmtId="0" fontId="4" fillId="2" borderId="24" xfId="0" applyFont="1" applyFill="1" applyBorder="1" applyAlignment="1"/>
    <xf numFmtId="9" fontId="4" fillId="2" borderId="19" xfId="0" applyNumberFormat="1" applyFont="1" applyFill="1" applyBorder="1" applyAlignment="1">
      <alignment horizontal="center"/>
    </xf>
    <xf numFmtId="9" fontId="4" fillId="2" borderId="22" xfId="0" applyNumberFormat="1" applyFont="1" applyFill="1" applyBorder="1" applyAlignment="1">
      <alignment horizontal="center"/>
    </xf>
    <xf numFmtId="9" fontId="1" fillId="2" borderId="3" xfId="0" applyNumberFormat="1" applyFont="1" applyFill="1" applyBorder="1" applyAlignment="1">
      <alignment horizontal="center"/>
    </xf>
    <xf numFmtId="4" fontId="4" fillId="0" borderId="0" xfId="0" applyNumberFormat="1" applyFont="1" applyAlignment="1"/>
    <xf numFmtId="165" fontId="4" fillId="6" borderId="25" xfId="0" applyNumberFormat="1" applyFont="1" applyFill="1" applyBorder="1" applyAlignment="1"/>
    <xf numFmtId="165" fontId="4" fillId="6" borderId="25" xfId="0" applyNumberFormat="1" applyFont="1" applyFill="1" applyBorder="1" applyAlignment="1">
      <alignment horizontal="center"/>
    </xf>
    <xf numFmtId="0" fontId="5" fillId="2" borderId="83" xfId="0" applyFont="1" applyFill="1" applyBorder="1" applyAlignment="1"/>
    <xf numFmtId="165" fontId="4" fillId="6" borderId="27" xfId="0" applyNumberFormat="1" applyFont="1" applyFill="1" applyBorder="1" applyAlignment="1"/>
    <xf numFmtId="0" fontId="1" fillId="4" borderId="25" xfId="0" applyFont="1" applyFill="1" applyBorder="1" applyAlignment="1"/>
    <xf numFmtId="164" fontId="1" fillId="4" borderId="25" xfId="0" applyNumberFormat="1" applyFont="1" applyFill="1" applyBorder="1" applyAlignment="1">
      <alignment horizontal="center"/>
    </xf>
    <xf numFmtId="164" fontId="1" fillId="4" borderId="27" xfId="0" applyNumberFormat="1" applyFont="1" applyFill="1" applyBorder="1" applyAlignment="1">
      <alignment horizontal="center"/>
    </xf>
    <xf numFmtId="4" fontId="1" fillId="2" borderId="24" xfId="0" applyNumberFormat="1" applyFont="1" applyFill="1" applyBorder="1" applyAlignment="1"/>
    <xf numFmtId="9" fontId="4" fillId="2" borderId="27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/>
    <xf numFmtId="164" fontId="4" fillId="2" borderId="25" xfId="0" applyNumberFormat="1" applyFont="1" applyFill="1" applyBorder="1" applyAlignment="1"/>
    <xf numFmtId="164" fontId="4" fillId="2" borderId="27" xfId="0" applyNumberFormat="1" applyFont="1" applyFill="1" applyBorder="1" applyAlignment="1"/>
    <xf numFmtId="0" fontId="4" fillId="2" borderId="19" xfId="0" applyFont="1" applyFill="1" applyBorder="1" applyAlignment="1"/>
    <xf numFmtId="0" fontId="1" fillId="4" borderId="11" xfId="0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/>
    <xf numFmtId="2" fontId="4" fillId="2" borderId="3" xfId="0" applyNumberFormat="1" applyFont="1" applyFill="1" applyBorder="1" applyAlignment="1"/>
    <xf numFmtId="164" fontId="4" fillId="2" borderId="3" xfId="0" applyNumberFormat="1" applyFont="1" applyFill="1" applyBorder="1" applyAlignment="1"/>
    <xf numFmtId="4" fontId="6" fillId="2" borderId="3" xfId="0" applyNumberFormat="1" applyFont="1" applyFill="1" applyBorder="1" applyAlignment="1"/>
    <xf numFmtId="0" fontId="1" fillId="4" borderId="29" xfId="0" applyFont="1" applyFill="1" applyBorder="1" applyAlignment="1">
      <alignment horizontal="center" vertical="center" wrapText="1"/>
    </xf>
    <xf numFmtId="0" fontId="1" fillId="0" borderId="11" xfId="0" applyFont="1" applyBorder="1" applyAlignment="1"/>
    <xf numFmtId="165" fontId="1" fillId="0" borderId="25" xfId="0" applyNumberFormat="1" applyFont="1" applyBorder="1" applyAlignment="1"/>
    <xf numFmtId="165" fontId="1" fillId="0" borderId="27" xfId="0" applyNumberFormat="1" applyFont="1" applyBorder="1" applyAlignment="1"/>
    <xf numFmtId="167" fontId="20" fillId="2" borderId="3" xfId="0" applyNumberFormat="1" applyFont="1" applyFill="1" applyBorder="1" applyAlignment="1">
      <alignment horizontal="center" vertical="center"/>
    </xf>
    <xf numFmtId="165" fontId="4" fillId="0" borderId="27" xfId="0" applyNumberFormat="1" applyFont="1" applyBorder="1" applyAlignment="1"/>
    <xf numFmtId="0" fontId="4" fillId="2" borderId="38" xfId="0" applyFont="1" applyFill="1" applyBorder="1" applyAlignment="1">
      <alignment horizontal="left" vertical="center"/>
    </xf>
    <xf numFmtId="165" fontId="5" fillId="0" borderId="0" xfId="0" applyNumberFormat="1" applyFont="1" applyAlignment="1"/>
    <xf numFmtId="0" fontId="5" fillId="0" borderId="84" xfId="0" applyFont="1" applyBorder="1" applyAlignment="1"/>
    <xf numFmtId="165" fontId="4" fillId="0" borderId="85" xfId="0" applyNumberFormat="1" applyFont="1" applyBorder="1" applyAlignment="1"/>
    <xf numFmtId="165" fontId="1" fillId="2" borderId="25" xfId="0" applyNumberFormat="1" applyFont="1" applyFill="1" applyBorder="1" applyAlignment="1">
      <alignment horizontal="right"/>
    </xf>
    <xf numFmtId="165" fontId="1" fillId="2" borderId="27" xfId="0" applyNumberFormat="1" applyFont="1" applyFill="1" applyBorder="1" applyAlignment="1">
      <alignment horizontal="right"/>
    </xf>
    <xf numFmtId="165" fontId="1" fillId="4" borderId="25" xfId="0" applyNumberFormat="1" applyFont="1" applyFill="1" applyBorder="1" applyAlignment="1">
      <alignment horizontal="right"/>
    </xf>
    <xf numFmtId="165" fontId="1" fillId="4" borderId="27" xfId="0" applyNumberFormat="1" applyFont="1" applyFill="1" applyBorder="1" applyAlignment="1">
      <alignment horizontal="right"/>
    </xf>
    <xf numFmtId="4" fontId="1" fillId="4" borderId="11" xfId="0" applyNumberFormat="1" applyFont="1" applyFill="1" applyBorder="1" applyAlignment="1">
      <alignment horizontal="center"/>
    </xf>
    <xf numFmtId="165" fontId="1" fillId="4" borderId="25" xfId="0" applyNumberFormat="1" applyFont="1" applyFill="1" applyBorder="1" applyAlignment="1"/>
    <xf numFmtId="165" fontId="1" fillId="4" borderId="27" xfId="0" applyNumberFormat="1" applyFont="1" applyFill="1" applyBorder="1" applyAlignment="1"/>
    <xf numFmtId="0" fontId="21" fillId="2" borderId="3" xfId="0" applyFont="1" applyFill="1" applyBorder="1" applyAlignment="1"/>
    <xf numFmtId="165" fontId="21" fillId="2" borderId="3" xfId="0" applyNumberFormat="1" applyFont="1" applyFill="1" applyBorder="1" applyAlignment="1"/>
    <xf numFmtId="0" fontId="8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1" fillId="4" borderId="7" xfId="0" applyFont="1" applyFill="1" applyBorder="1" applyAlignment="1">
      <alignment horizontal="center" vertical="center"/>
    </xf>
    <xf numFmtId="0" fontId="3" fillId="0" borderId="32" xfId="0" applyFont="1" applyBorder="1"/>
    <xf numFmtId="0" fontId="1" fillId="4" borderId="10" xfId="0" applyFont="1" applyFill="1" applyBorder="1" applyAlignment="1">
      <alignment horizontal="center"/>
    </xf>
    <xf numFmtId="0" fontId="3" fillId="0" borderId="28" xfId="0" applyFont="1" applyBorder="1"/>
    <xf numFmtId="0" fontId="3" fillId="0" borderId="8" xfId="0" applyFont="1" applyBorder="1"/>
    <xf numFmtId="165" fontId="1" fillId="4" borderId="43" xfId="0" applyNumberFormat="1" applyFont="1" applyFill="1" applyBorder="1" applyAlignment="1">
      <alignment horizontal="center"/>
    </xf>
    <xf numFmtId="0" fontId="3" fillId="0" borderId="44" xfId="0" applyFont="1" applyBorder="1"/>
    <xf numFmtId="0" fontId="1" fillId="4" borderId="1" xfId="0" applyFont="1" applyFill="1" applyBorder="1" applyAlignment="1">
      <alignment horizontal="right"/>
    </xf>
    <xf numFmtId="165" fontId="1" fillId="4" borderId="43" xfId="0" applyNumberFormat="1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 wrapText="1"/>
    </xf>
    <xf numFmtId="0" fontId="3" fillId="0" borderId="60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/>
    </xf>
    <xf numFmtId="0" fontId="3" fillId="0" borderId="6" xfId="0" applyFont="1" applyBorder="1"/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1" fillId="4" borderId="61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 wrapText="1"/>
    </xf>
    <xf numFmtId="0" fontId="3" fillId="0" borderId="57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20" xfId="0" applyFont="1" applyBorder="1"/>
    <xf numFmtId="0" fontId="6" fillId="4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15" fillId="4" borderId="5" xfId="0" applyFont="1" applyFill="1" applyBorder="1" applyAlignment="1">
      <alignment horizontal="left"/>
    </xf>
    <xf numFmtId="1" fontId="6" fillId="4" borderId="12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" fillId="4" borderId="1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4" fontId="1" fillId="4" borderId="5" xfId="0" applyNumberFormat="1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3" fillId="0" borderId="66" xfId="0" applyFont="1" applyBorder="1"/>
    <xf numFmtId="0" fontId="3" fillId="0" borderId="67" xfId="0" applyFont="1" applyBorder="1"/>
    <xf numFmtId="164" fontId="1" fillId="4" borderId="12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Requerimien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F19">
  <tableColumns count="6">
    <tableColumn id="1" xr3:uid="{00000000-0010-0000-0000-000001000000}" name="No"/>
    <tableColumn id="2" xr3:uid="{00000000-0010-0000-0000-000002000000}" name="Datos"/>
    <tableColumn id="3" xr3:uid="{00000000-0010-0000-0000-000003000000}" name="Fuente"/>
    <tableColumn id="4" xr3:uid="{00000000-0010-0000-0000-000004000000}" name="Observación"/>
    <tableColumn id="5" xr3:uid="{00000000-0010-0000-0000-000005000000}" name="Hoja Excel"/>
    <tableColumn id="6" xr3:uid="{00000000-0010-0000-0000-000006000000}" name="Alimenta"/>
  </tableColumns>
  <tableStyleInfo name="Requerimien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1000"/>
  <sheetViews>
    <sheetView showGridLines="0" workbookViewId="0">
      <pane ySplit="4" topLeftCell="A5" activePane="bottomLeft" state="frozen"/>
      <selection pane="bottomLeft" activeCell="C5" sqref="C5"/>
    </sheetView>
  </sheetViews>
  <sheetFormatPr baseColWidth="10" defaultColWidth="12.6328125" defaultRowHeight="15" customHeight="1" x14ac:dyDescent="0.25"/>
  <cols>
    <col min="1" max="1" width="6.90625" customWidth="1"/>
    <col min="2" max="2" width="30" customWidth="1"/>
    <col min="3" max="3" width="12.26953125" customWidth="1"/>
    <col min="4" max="4" width="32.7265625" customWidth="1"/>
    <col min="5" max="5" width="27" customWidth="1"/>
    <col min="6" max="6" width="26.6328125" customWidth="1"/>
    <col min="7" max="26" width="10" customWidth="1"/>
  </cols>
  <sheetData>
    <row r="1" spans="1:6" ht="20.25" customHeight="1" x14ac:dyDescent="0.4">
      <c r="A1" s="336" t="s">
        <v>4</v>
      </c>
      <c r="B1" s="337"/>
      <c r="C1" s="337"/>
      <c r="D1" s="337"/>
      <c r="E1" s="337"/>
      <c r="F1" s="338"/>
    </row>
    <row r="2" spans="1:6" ht="12.75" customHeight="1" x14ac:dyDescent="0.25"/>
    <row r="3" spans="1:6" ht="12.75" customHeight="1" x14ac:dyDescent="0.25"/>
    <row r="4" spans="1:6" ht="12.75" customHeight="1" x14ac:dyDescent="0.25">
      <c r="A4" s="15" t="s">
        <v>9</v>
      </c>
      <c r="B4" s="16" t="s">
        <v>11</v>
      </c>
      <c r="C4" s="16" t="s">
        <v>14</v>
      </c>
      <c r="D4" s="16" t="s">
        <v>16</v>
      </c>
      <c r="E4" s="16" t="s">
        <v>17</v>
      </c>
      <c r="F4" s="17" t="s">
        <v>19</v>
      </c>
    </row>
    <row r="5" spans="1:6" ht="24" customHeight="1" x14ac:dyDescent="0.25">
      <c r="A5" s="20">
        <v>1</v>
      </c>
      <c r="B5" s="22" t="s">
        <v>23</v>
      </c>
      <c r="C5" s="22" t="s">
        <v>26</v>
      </c>
      <c r="D5" s="25" t="s">
        <v>28</v>
      </c>
      <c r="E5" s="22" t="s">
        <v>33</v>
      </c>
      <c r="F5" s="27" t="s">
        <v>35</v>
      </c>
    </row>
    <row r="6" spans="1:6" ht="24" customHeight="1" x14ac:dyDescent="0.25">
      <c r="A6" s="20">
        <f t="shared" ref="A6:A19" si="0">A5+1</f>
        <v>2</v>
      </c>
      <c r="B6" s="22" t="s">
        <v>40</v>
      </c>
      <c r="C6" s="22" t="s">
        <v>26</v>
      </c>
      <c r="D6" s="25" t="s">
        <v>42</v>
      </c>
      <c r="E6" s="22" t="s">
        <v>33</v>
      </c>
      <c r="F6" s="27" t="s">
        <v>35</v>
      </c>
    </row>
    <row r="7" spans="1:6" ht="60" customHeight="1" x14ac:dyDescent="0.25">
      <c r="A7" s="20">
        <f t="shared" si="0"/>
        <v>3</v>
      </c>
      <c r="B7" s="22" t="s">
        <v>46</v>
      </c>
      <c r="C7" s="22" t="s">
        <v>26</v>
      </c>
      <c r="D7" s="25" t="s">
        <v>47</v>
      </c>
      <c r="E7" s="22" t="s">
        <v>33</v>
      </c>
      <c r="F7" s="27" t="s">
        <v>35</v>
      </c>
    </row>
    <row r="8" spans="1:6" ht="24" customHeight="1" x14ac:dyDescent="0.25">
      <c r="A8" s="20">
        <f t="shared" si="0"/>
        <v>4</v>
      </c>
      <c r="B8" s="22" t="s">
        <v>48</v>
      </c>
      <c r="C8" s="22" t="s">
        <v>26</v>
      </c>
      <c r="D8" s="25" t="s">
        <v>49</v>
      </c>
      <c r="E8" s="22" t="s">
        <v>33</v>
      </c>
      <c r="F8" s="27" t="s">
        <v>51</v>
      </c>
    </row>
    <row r="9" spans="1:6" ht="48" customHeight="1" x14ac:dyDescent="0.25">
      <c r="A9" s="20">
        <f t="shared" si="0"/>
        <v>5</v>
      </c>
      <c r="B9" s="22" t="s">
        <v>52</v>
      </c>
      <c r="C9" s="22" t="s">
        <v>53</v>
      </c>
      <c r="D9" s="25" t="s">
        <v>54</v>
      </c>
      <c r="E9" s="22" t="s">
        <v>56</v>
      </c>
      <c r="F9" s="27" t="s">
        <v>57</v>
      </c>
    </row>
    <row r="10" spans="1:6" ht="48" customHeight="1" x14ac:dyDescent="0.25">
      <c r="A10" s="20">
        <f t="shared" si="0"/>
        <v>6</v>
      </c>
      <c r="B10" s="22" t="s">
        <v>59</v>
      </c>
      <c r="C10" s="22" t="s">
        <v>53</v>
      </c>
      <c r="D10" s="25" t="s">
        <v>60</v>
      </c>
      <c r="E10" s="22" t="s">
        <v>56</v>
      </c>
      <c r="F10" s="27" t="s">
        <v>61</v>
      </c>
    </row>
    <row r="11" spans="1:6" ht="12.75" customHeight="1" x14ac:dyDescent="0.25">
      <c r="A11" s="20">
        <f t="shared" si="0"/>
        <v>7</v>
      </c>
      <c r="B11" s="22" t="s">
        <v>63</v>
      </c>
      <c r="C11" s="22" t="s">
        <v>53</v>
      </c>
      <c r="D11" s="25" t="s">
        <v>64</v>
      </c>
      <c r="E11" s="22" t="s">
        <v>33</v>
      </c>
      <c r="F11" s="27" t="s">
        <v>65</v>
      </c>
    </row>
    <row r="12" spans="1:6" ht="12.75" customHeight="1" x14ac:dyDescent="0.25">
      <c r="A12" s="20">
        <f t="shared" si="0"/>
        <v>8</v>
      </c>
      <c r="B12" s="22" t="s">
        <v>66</v>
      </c>
      <c r="C12" s="22" t="s">
        <v>53</v>
      </c>
      <c r="D12" s="25" t="s">
        <v>64</v>
      </c>
      <c r="E12" s="22" t="s">
        <v>33</v>
      </c>
      <c r="F12" s="27" t="s">
        <v>65</v>
      </c>
    </row>
    <row r="13" spans="1:6" ht="12.75" customHeight="1" x14ac:dyDescent="0.25">
      <c r="A13" s="20">
        <f t="shared" si="0"/>
        <v>9</v>
      </c>
      <c r="B13" s="22" t="s">
        <v>67</v>
      </c>
      <c r="C13" s="22" t="s">
        <v>53</v>
      </c>
      <c r="D13" s="25" t="s">
        <v>64</v>
      </c>
      <c r="E13" s="22" t="s">
        <v>33</v>
      </c>
      <c r="F13" s="27" t="s">
        <v>65</v>
      </c>
    </row>
    <row r="14" spans="1:6" ht="12.75" customHeight="1" x14ac:dyDescent="0.25">
      <c r="A14" s="20">
        <f t="shared" si="0"/>
        <v>10</v>
      </c>
      <c r="B14" s="22" t="s">
        <v>68</v>
      </c>
      <c r="C14" s="22" t="s">
        <v>53</v>
      </c>
      <c r="D14" s="25" t="s">
        <v>64</v>
      </c>
      <c r="E14" s="22" t="s">
        <v>33</v>
      </c>
      <c r="F14" s="27" t="s">
        <v>65</v>
      </c>
    </row>
    <row r="15" spans="1:6" ht="12.75" customHeight="1" x14ac:dyDescent="0.25">
      <c r="A15" s="20">
        <f t="shared" si="0"/>
        <v>11</v>
      </c>
      <c r="B15" s="22" t="s">
        <v>69</v>
      </c>
      <c r="C15" s="22" t="s">
        <v>53</v>
      </c>
      <c r="D15" s="25" t="s">
        <v>64</v>
      </c>
      <c r="E15" s="22" t="s">
        <v>33</v>
      </c>
      <c r="F15" s="27" t="s">
        <v>65</v>
      </c>
    </row>
    <row r="16" spans="1:6" ht="48" customHeight="1" x14ac:dyDescent="0.25">
      <c r="A16" s="20">
        <f t="shared" si="0"/>
        <v>12</v>
      </c>
      <c r="B16" s="25" t="s">
        <v>71</v>
      </c>
      <c r="C16" s="22" t="s">
        <v>53</v>
      </c>
      <c r="D16" s="25" t="s">
        <v>72</v>
      </c>
      <c r="E16" s="22" t="s">
        <v>73</v>
      </c>
      <c r="F16" s="61" t="s">
        <v>33</v>
      </c>
    </row>
    <row r="17" spans="1:6" ht="48" customHeight="1" x14ac:dyDescent="0.25">
      <c r="A17" s="20">
        <f t="shared" si="0"/>
        <v>13</v>
      </c>
      <c r="B17" s="22" t="s">
        <v>74</v>
      </c>
      <c r="C17" s="22" t="s">
        <v>53</v>
      </c>
      <c r="D17" s="25" t="s">
        <v>76</v>
      </c>
      <c r="E17" s="22" t="s">
        <v>33</v>
      </c>
      <c r="F17" s="27" t="s">
        <v>35</v>
      </c>
    </row>
    <row r="18" spans="1:6" ht="12.75" customHeight="1" x14ac:dyDescent="0.25">
      <c r="A18" s="20">
        <f t="shared" si="0"/>
        <v>14</v>
      </c>
      <c r="B18" s="22" t="s">
        <v>77</v>
      </c>
      <c r="C18" s="22" t="s">
        <v>78</v>
      </c>
      <c r="D18" s="25" t="s">
        <v>79</v>
      </c>
      <c r="E18" s="22" t="s">
        <v>80</v>
      </c>
      <c r="F18" s="27" t="s">
        <v>81</v>
      </c>
    </row>
    <row r="19" spans="1:6" ht="60" customHeight="1" x14ac:dyDescent="0.25">
      <c r="A19" s="65">
        <f t="shared" si="0"/>
        <v>15</v>
      </c>
      <c r="B19" s="67" t="s">
        <v>82</v>
      </c>
      <c r="C19" s="67" t="s">
        <v>83</v>
      </c>
      <c r="D19" s="68" t="s">
        <v>84</v>
      </c>
      <c r="E19" s="67" t="s">
        <v>56</v>
      </c>
      <c r="F19" s="69" t="s">
        <v>85</v>
      </c>
    </row>
    <row r="20" spans="1:6" ht="12.75" customHeight="1" x14ac:dyDescent="0.25">
      <c r="D20" s="70"/>
    </row>
    <row r="21" spans="1:6" ht="12.75" customHeight="1" x14ac:dyDescent="0.25">
      <c r="D21" s="70"/>
    </row>
    <row r="22" spans="1:6" ht="12.75" customHeight="1" x14ac:dyDescent="0.25">
      <c r="D22" s="70"/>
    </row>
    <row r="23" spans="1:6" ht="12.75" customHeight="1" x14ac:dyDescent="0.25">
      <c r="D23" s="70"/>
    </row>
    <row r="24" spans="1:6" ht="12.75" customHeight="1" x14ac:dyDescent="0.25">
      <c r="D24" s="70"/>
    </row>
    <row r="25" spans="1:6" ht="12.75" customHeight="1" x14ac:dyDescent="0.25">
      <c r="D25" s="70"/>
    </row>
    <row r="26" spans="1:6" ht="12.75" customHeight="1" x14ac:dyDescent="0.25">
      <c r="D26" s="70"/>
    </row>
    <row r="27" spans="1:6" ht="12.75" customHeight="1" x14ac:dyDescent="0.25">
      <c r="D27" s="70"/>
    </row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1:F1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>
      <selection activeCell="D6" sqref="D6"/>
    </sheetView>
  </sheetViews>
  <sheetFormatPr baseColWidth="10" defaultColWidth="12.6328125" defaultRowHeight="15" customHeight="1" x14ac:dyDescent="0.25"/>
  <cols>
    <col min="1" max="1" width="29.08984375" customWidth="1"/>
    <col min="2" max="2" width="6" customWidth="1"/>
    <col min="3" max="3" width="12.7265625" customWidth="1"/>
    <col min="4" max="4" width="6.90625" customWidth="1"/>
    <col min="5" max="5" width="12.7265625" customWidth="1"/>
    <col min="6" max="6" width="6.90625" customWidth="1"/>
    <col min="7" max="7" width="12" customWidth="1"/>
    <col min="8" max="8" width="7" customWidth="1"/>
    <col min="9" max="9" width="14.26953125" customWidth="1"/>
    <col min="10" max="10" width="8" customWidth="1"/>
    <col min="11" max="11" width="14.7265625" customWidth="1"/>
    <col min="12" max="15" width="9.08984375" customWidth="1"/>
    <col min="16" max="26" width="10" customWidth="1"/>
  </cols>
  <sheetData>
    <row r="1" spans="1:26" ht="12.75" customHeight="1" x14ac:dyDescent="0.3">
      <c r="A1" s="1"/>
      <c r="B1" s="2" t="s">
        <v>1</v>
      </c>
      <c r="C1" s="3">
        <v>0.06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">
      <c r="A2" s="10"/>
      <c r="B2" s="11"/>
      <c r="C2" s="1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339" t="s">
        <v>37</v>
      </c>
      <c r="B3" s="341" t="s">
        <v>39</v>
      </c>
      <c r="C3" s="342"/>
      <c r="D3" s="341" t="s">
        <v>41</v>
      </c>
      <c r="E3" s="342"/>
      <c r="F3" s="341" t="s">
        <v>43</v>
      </c>
      <c r="G3" s="342"/>
      <c r="H3" s="341" t="s">
        <v>44</v>
      </c>
      <c r="I3" s="342"/>
      <c r="J3" s="341" t="s">
        <v>45</v>
      </c>
      <c r="K3" s="34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340"/>
      <c r="B4" s="26" t="s">
        <v>55</v>
      </c>
      <c r="C4" s="26" t="s">
        <v>58</v>
      </c>
      <c r="D4" s="26" t="s">
        <v>55</v>
      </c>
      <c r="E4" s="26" t="s">
        <v>58</v>
      </c>
      <c r="F4" s="26" t="s">
        <v>55</v>
      </c>
      <c r="G4" s="26" t="s">
        <v>58</v>
      </c>
      <c r="H4" s="26" t="s">
        <v>55</v>
      </c>
      <c r="I4" s="26" t="s">
        <v>58</v>
      </c>
      <c r="J4" s="26" t="s">
        <v>55</v>
      </c>
      <c r="K4" s="30" t="s">
        <v>58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3" t="s">
        <v>211</v>
      </c>
      <c r="B5" s="55">
        <v>1</v>
      </c>
      <c r="C5" s="56">
        <v>15000</v>
      </c>
      <c r="D5" s="41">
        <v>1</v>
      </c>
      <c r="E5" s="60">
        <f t="shared" ref="E5:E6" si="0">+C5*(1+$C$1)</f>
        <v>15900</v>
      </c>
      <c r="F5" s="41">
        <v>1</v>
      </c>
      <c r="G5" s="60">
        <f t="shared" ref="G5:G6" si="1">+E5*(1+$C$1)</f>
        <v>16854</v>
      </c>
      <c r="H5" s="41">
        <v>1</v>
      </c>
      <c r="I5" s="60">
        <f t="shared" ref="I5:I6" si="2">+G5*(1+$C$1)</f>
        <v>17865.240000000002</v>
      </c>
      <c r="J5" s="41">
        <v>1</v>
      </c>
      <c r="K5" s="62">
        <f t="shared" ref="K5:K6" si="3">+I5*(1+$C$1)</f>
        <v>18937.154400000003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25">
      <c r="A6" s="53"/>
      <c r="B6" s="55"/>
      <c r="C6" s="56"/>
      <c r="D6" s="41">
        <v>1</v>
      </c>
      <c r="E6" s="60">
        <f t="shared" si="0"/>
        <v>0</v>
      </c>
      <c r="F6" s="41">
        <v>1</v>
      </c>
      <c r="G6" s="60">
        <f t="shared" si="1"/>
        <v>0</v>
      </c>
      <c r="H6" s="41">
        <v>1</v>
      </c>
      <c r="I6" s="60">
        <f t="shared" si="2"/>
        <v>0</v>
      </c>
      <c r="J6" s="41">
        <v>1</v>
      </c>
      <c r="K6" s="62">
        <f t="shared" si="3"/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hidden="1" customHeight="1" x14ac:dyDescent="0.25">
      <c r="A7" s="53"/>
      <c r="B7" s="55"/>
      <c r="C7" s="56"/>
      <c r="D7" s="41"/>
      <c r="E7" s="60"/>
      <c r="F7" s="41"/>
      <c r="G7" s="60"/>
      <c r="H7" s="41"/>
      <c r="I7" s="60"/>
      <c r="J7" s="41"/>
      <c r="K7" s="6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53"/>
      <c r="B8" s="55"/>
      <c r="C8" s="56"/>
      <c r="D8" s="41">
        <f t="shared" ref="D8:D12" si="4">+B8</f>
        <v>0</v>
      </c>
      <c r="E8" s="60">
        <f t="shared" ref="E8:E12" si="5">+C8*(1+$C$1)</f>
        <v>0</v>
      </c>
      <c r="F8" s="41">
        <f t="shared" ref="F8:F12" si="6">+D8</f>
        <v>0</v>
      </c>
      <c r="G8" s="60">
        <f t="shared" ref="G8:G12" si="7">+E8*(1+$C$1)</f>
        <v>0</v>
      </c>
      <c r="H8" s="41">
        <f t="shared" ref="H8:H12" si="8">+F8</f>
        <v>0</v>
      </c>
      <c r="I8" s="60">
        <f t="shared" ref="I8:I12" si="9">+G8*(1+$C$1)</f>
        <v>0</v>
      </c>
      <c r="J8" s="41">
        <f t="shared" ref="J8:J12" si="10">+H8</f>
        <v>0</v>
      </c>
      <c r="K8" s="62">
        <f t="shared" ref="K8:K12" si="11">+I8*(1+$C$1)</f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53"/>
      <c r="B9" s="55"/>
      <c r="C9" s="56"/>
      <c r="D9" s="41">
        <f t="shared" si="4"/>
        <v>0</v>
      </c>
      <c r="E9" s="60">
        <f t="shared" si="5"/>
        <v>0</v>
      </c>
      <c r="F9" s="41">
        <f t="shared" si="6"/>
        <v>0</v>
      </c>
      <c r="G9" s="60">
        <f t="shared" si="7"/>
        <v>0</v>
      </c>
      <c r="H9" s="41">
        <f t="shared" si="8"/>
        <v>0</v>
      </c>
      <c r="I9" s="60">
        <f t="shared" si="9"/>
        <v>0</v>
      </c>
      <c r="J9" s="41">
        <f t="shared" si="10"/>
        <v>0</v>
      </c>
      <c r="K9" s="62">
        <f t="shared" si="11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98"/>
      <c r="B10" s="100"/>
      <c r="C10" s="102"/>
      <c r="D10" s="77">
        <f t="shared" si="4"/>
        <v>0</v>
      </c>
      <c r="E10" s="60">
        <f t="shared" si="5"/>
        <v>0</v>
      </c>
      <c r="F10" s="77">
        <f t="shared" si="6"/>
        <v>0</v>
      </c>
      <c r="G10" s="60">
        <f t="shared" si="7"/>
        <v>0</v>
      </c>
      <c r="H10" s="77">
        <f t="shared" si="8"/>
        <v>0</v>
      </c>
      <c r="I10" s="60">
        <f t="shared" si="9"/>
        <v>0</v>
      </c>
      <c r="J10" s="77">
        <f t="shared" si="10"/>
        <v>0</v>
      </c>
      <c r="K10" s="62">
        <f t="shared" si="1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98"/>
      <c r="B11" s="100"/>
      <c r="C11" s="102"/>
      <c r="D11" s="77">
        <f t="shared" si="4"/>
        <v>0</v>
      </c>
      <c r="E11" s="60">
        <f t="shared" si="5"/>
        <v>0</v>
      </c>
      <c r="F11" s="77">
        <f t="shared" si="6"/>
        <v>0</v>
      </c>
      <c r="G11" s="60">
        <f t="shared" si="7"/>
        <v>0</v>
      </c>
      <c r="H11" s="77">
        <f t="shared" si="8"/>
        <v>0</v>
      </c>
      <c r="I11" s="60">
        <f t="shared" si="9"/>
        <v>0</v>
      </c>
      <c r="J11" s="77">
        <f t="shared" si="10"/>
        <v>0</v>
      </c>
      <c r="K11" s="62">
        <f t="shared" si="11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98"/>
      <c r="B12" s="100"/>
      <c r="C12" s="102"/>
      <c r="D12" s="77">
        <f t="shared" si="4"/>
        <v>0</v>
      </c>
      <c r="E12" s="60">
        <f t="shared" si="5"/>
        <v>0</v>
      </c>
      <c r="F12" s="77">
        <f t="shared" si="6"/>
        <v>0</v>
      </c>
      <c r="G12" s="60">
        <f t="shared" si="7"/>
        <v>0</v>
      </c>
      <c r="H12" s="77">
        <f t="shared" si="8"/>
        <v>0</v>
      </c>
      <c r="I12" s="60">
        <f t="shared" si="9"/>
        <v>0</v>
      </c>
      <c r="J12" s="77">
        <f t="shared" si="10"/>
        <v>0</v>
      </c>
      <c r="K12" s="62">
        <f t="shared" si="11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3">
      <c r="A13" s="125" t="s">
        <v>36</v>
      </c>
      <c r="B13" s="127">
        <f>SUM(B5:B12)</f>
        <v>1</v>
      </c>
      <c r="C13" s="130">
        <f>B5*C5+B6*C6+B9*C9+B8*C8+B10*C10+B11*C11+B12*C12</f>
        <v>15000</v>
      </c>
      <c r="D13" s="127">
        <f>D5+D6+D8+D9+D7+D10+D11+D12</f>
        <v>2</v>
      </c>
      <c r="E13" s="130">
        <f>D5*E5+D6*E6+D9*E9+D8*E8+D10*E10+D11*E11+D12*E12</f>
        <v>15900</v>
      </c>
      <c r="F13" s="127">
        <f>F5+F6+F9+F7+F8</f>
        <v>2</v>
      </c>
      <c r="G13" s="130">
        <f>F5*G5+F6*G6+F9*G9+F8*G8+F10*G10+F11*G11+F12*G12</f>
        <v>16854</v>
      </c>
      <c r="H13" s="127">
        <f>H9+H8+H7+H6+H5</f>
        <v>2</v>
      </c>
      <c r="I13" s="130">
        <f>H5*I5+H6*I6+H9*I9+H8*I8+H10*I10+H11*I11+H12*I12</f>
        <v>17865.240000000002</v>
      </c>
      <c r="J13" s="127">
        <f>J5+J6+J7+J8+J9</f>
        <v>2</v>
      </c>
      <c r="K13" s="130">
        <f>J5*K5+J6*K6+J9*K9+J8*K8+J10*K10+J11*K11+J12*K12</f>
        <v>18937.154400000003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43" t="s">
        <v>104</v>
      </c>
      <c r="B14" s="347">
        <f>C13*12</f>
        <v>180000</v>
      </c>
      <c r="C14" s="345"/>
      <c r="D14" s="344">
        <f>E13*12</f>
        <v>190800</v>
      </c>
      <c r="E14" s="345"/>
      <c r="F14" s="344">
        <f>G13*12</f>
        <v>202248</v>
      </c>
      <c r="G14" s="345"/>
      <c r="H14" s="344">
        <f>I13*12</f>
        <v>214382.88</v>
      </c>
      <c r="I14" s="345"/>
      <c r="J14" s="344">
        <f>K13*12</f>
        <v>227245.85280000005</v>
      </c>
      <c r="K14" s="34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346" t="s">
        <v>107</v>
      </c>
      <c r="B15" s="337"/>
      <c r="C15" s="337"/>
      <c r="D15" s="337"/>
      <c r="E15" s="337"/>
      <c r="F15" s="337"/>
      <c r="G15" s="337"/>
      <c r="H15" s="337"/>
      <c r="I15" s="337"/>
      <c r="J15" s="337"/>
      <c r="K15" s="33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/>
      <c r="B16" s="4"/>
      <c r="C16" s="4"/>
      <c r="D16" s="4"/>
      <c r="E16" s="134"/>
      <c r="F16" s="4"/>
      <c r="G16" s="134"/>
      <c r="H16" s="4"/>
      <c r="I16" s="134"/>
      <c r="J16" s="4"/>
      <c r="K16" s="13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">
      <c r="A17" s="10"/>
      <c r="B17" s="11"/>
      <c r="C17" s="1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339" t="s">
        <v>113</v>
      </c>
      <c r="B18" s="341" t="s">
        <v>39</v>
      </c>
      <c r="C18" s="342"/>
      <c r="D18" s="341" t="s">
        <v>41</v>
      </c>
      <c r="E18" s="342"/>
      <c r="F18" s="341" t="s">
        <v>43</v>
      </c>
      <c r="G18" s="342"/>
      <c r="H18" s="341" t="s">
        <v>44</v>
      </c>
      <c r="I18" s="342"/>
      <c r="J18" s="341" t="s">
        <v>45</v>
      </c>
      <c r="K18" s="34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340"/>
      <c r="B19" s="26" t="s">
        <v>55</v>
      </c>
      <c r="C19" s="26" t="s">
        <v>58</v>
      </c>
      <c r="D19" s="26" t="s">
        <v>55</v>
      </c>
      <c r="E19" s="26" t="s">
        <v>58</v>
      </c>
      <c r="F19" s="26" t="s">
        <v>55</v>
      </c>
      <c r="G19" s="26" t="s">
        <v>58</v>
      </c>
      <c r="H19" s="26" t="s">
        <v>55</v>
      </c>
      <c r="I19" s="26" t="s">
        <v>58</v>
      </c>
      <c r="J19" s="26" t="s">
        <v>55</v>
      </c>
      <c r="K19" s="30" t="s">
        <v>58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32"/>
      <c r="B20" s="169"/>
      <c r="C20" s="170"/>
      <c r="D20" s="132">
        <v>1</v>
      </c>
      <c r="E20" s="60">
        <v>380.26</v>
      </c>
      <c r="F20" s="132">
        <v>1</v>
      </c>
      <c r="G20" s="60">
        <v>399.27</v>
      </c>
      <c r="H20" s="132">
        <v>1</v>
      </c>
      <c r="I20" s="60">
        <v>419.23</v>
      </c>
      <c r="J20" s="132">
        <v>1</v>
      </c>
      <c r="K20" s="62">
        <v>440.19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32"/>
      <c r="B21" s="169"/>
      <c r="C21" s="170"/>
      <c r="D21" s="132">
        <v>1</v>
      </c>
      <c r="E21" s="60">
        <f t="shared" ref="E21:E25" si="12">+C21*(1+$C$1)</f>
        <v>0</v>
      </c>
      <c r="F21" s="132">
        <v>1</v>
      </c>
      <c r="G21" s="60">
        <f t="shared" ref="G21:G25" si="13">+E21*(1+$C$1)</f>
        <v>0</v>
      </c>
      <c r="H21" s="132">
        <v>1</v>
      </c>
      <c r="I21" s="60">
        <f t="shared" ref="I21:I25" si="14">+G21*(1+$C$1)</f>
        <v>0</v>
      </c>
      <c r="J21" s="132">
        <v>1</v>
      </c>
      <c r="K21" s="62">
        <f t="shared" ref="K21:K25" si="15">+I21*(1+$C$1)</f>
        <v>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32"/>
      <c r="B22" s="169"/>
      <c r="C22" s="170"/>
      <c r="D22" s="132">
        <v>1</v>
      </c>
      <c r="E22" s="60">
        <f t="shared" si="12"/>
        <v>0</v>
      </c>
      <c r="F22" s="132">
        <v>1</v>
      </c>
      <c r="G22" s="60">
        <f t="shared" si="13"/>
        <v>0</v>
      </c>
      <c r="H22" s="132">
        <v>1</v>
      </c>
      <c r="I22" s="60">
        <f t="shared" si="14"/>
        <v>0</v>
      </c>
      <c r="J22" s="132">
        <v>1</v>
      </c>
      <c r="K22" s="62">
        <f t="shared" si="15"/>
        <v>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32"/>
      <c r="B23" s="169"/>
      <c r="C23" s="170"/>
      <c r="D23" s="132"/>
      <c r="E23" s="60">
        <f t="shared" si="12"/>
        <v>0</v>
      </c>
      <c r="F23" s="132">
        <v>1</v>
      </c>
      <c r="G23" s="60">
        <f t="shared" si="13"/>
        <v>0</v>
      </c>
      <c r="H23" s="132">
        <v>1</v>
      </c>
      <c r="I23" s="60">
        <f t="shared" si="14"/>
        <v>0</v>
      </c>
      <c r="J23" s="132">
        <v>1</v>
      </c>
      <c r="K23" s="62">
        <f t="shared" si="15"/>
        <v>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32"/>
      <c r="B24" s="169"/>
      <c r="C24" s="170"/>
      <c r="D24" s="132"/>
      <c r="E24" s="60">
        <f t="shared" si="12"/>
        <v>0</v>
      </c>
      <c r="F24" s="132"/>
      <c r="G24" s="60">
        <f t="shared" si="13"/>
        <v>0</v>
      </c>
      <c r="H24" s="132"/>
      <c r="I24" s="60">
        <f t="shared" si="14"/>
        <v>0</v>
      </c>
      <c r="J24" s="132"/>
      <c r="K24" s="62">
        <f t="shared" si="15"/>
        <v>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32"/>
      <c r="B25" s="169"/>
      <c r="C25" s="170"/>
      <c r="D25" s="132"/>
      <c r="E25" s="60">
        <f t="shared" si="12"/>
        <v>0</v>
      </c>
      <c r="F25" s="132"/>
      <c r="G25" s="60">
        <f t="shared" si="13"/>
        <v>0</v>
      </c>
      <c r="H25" s="132"/>
      <c r="I25" s="60">
        <f t="shared" si="14"/>
        <v>0</v>
      </c>
      <c r="J25" s="132"/>
      <c r="K25" s="62">
        <f t="shared" si="15"/>
        <v>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194"/>
      <c r="B26" s="195"/>
      <c r="C26" s="197"/>
      <c r="D26" s="198"/>
      <c r="E26" s="200"/>
      <c r="F26" s="198"/>
      <c r="G26" s="200"/>
      <c r="H26" s="198"/>
      <c r="I26" s="200"/>
      <c r="J26" s="198"/>
      <c r="K26" s="20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194"/>
      <c r="B27" s="195"/>
      <c r="C27" s="197"/>
      <c r="D27" s="198"/>
      <c r="E27" s="200"/>
      <c r="F27" s="198"/>
      <c r="G27" s="200"/>
      <c r="H27" s="198"/>
      <c r="I27" s="200"/>
      <c r="J27" s="198"/>
      <c r="K27" s="20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194"/>
      <c r="B28" s="195"/>
      <c r="C28" s="197"/>
      <c r="D28" s="198"/>
      <c r="E28" s="200"/>
      <c r="F28" s="198"/>
      <c r="G28" s="200"/>
      <c r="H28" s="198"/>
      <c r="I28" s="200"/>
      <c r="J28" s="198"/>
      <c r="K28" s="20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">
      <c r="A29" s="125" t="s">
        <v>36</v>
      </c>
      <c r="B29" s="127">
        <f>SUM(B20:B28)</f>
        <v>0</v>
      </c>
      <c r="C29" s="130">
        <f>+B20*C20+B21*C21+B22*C22+B23*C23+B24*C24+B25*C25+B26*C26+B27*C27+B28*C28</f>
        <v>0</v>
      </c>
      <c r="D29" s="127">
        <f>SUM(D20:D28)</f>
        <v>3</v>
      </c>
      <c r="E29" s="130">
        <f>+D20*E20+D21*E21+D22*E22+D23*E23+D24*E24+D25*E25+D26*E26+D27*E27+D28*E28</f>
        <v>380.26</v>
      </c>
      <c r="F29" s="127">
        <f>SUM(F20:F28)</f>
        <v>4</v>
      </c>
      <c r="G29" s="130">
        <f>+F20*G20+F21*G21+F22*G22+F23*G23+F24*G24+F25*G25+F26*G26+F27*G27+F28*G28</f>
        <v>399.27</v>
      </c>
      <c r="H29" s="127">
        <f>SUM(H20:H28)</f>
        <v>4</v>
      </c>
      <c r="I29" s="130">
        <f>+H20*I20+H21*I21+H22*I22+H23*I23+H24*I24+H25*I25+H26*I26+H27*I27+H28*I28</f>
        <v>419.23</v>
      </c>
      <c r="J29" s="127">
        <f>SUM(J20:J28)</f>
        <v>4</v>
      </c>
      <c r="K29" s="130">
        <f>+J20*K20+J21*K21+J22*K22+J23*K23+J24*K24+J25*K25+J26*K26+J27*K27+J28*K28</f>
        <v>440.19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43" t="s">
        <v>126</v>
      </c>
      <c r="B30" s="220"/>
      <c r="C30" s="221">
        <f>C29*12</f>
        <v>0</v>
      </c>
      <c r="D30" s="344">
        <f>E29*12</f>
        <v>4563.12</v>
      </c>
      <c r="E30" s="345"/>
      <c r="F30" s="344">
        <f>G29*12</f>
        <v>4791.24</v>
      </c>
      <c r="G30" s="345"/>
      <c r="H30" s="344">
        <f>I29*12</f>
        <v>5030.76</v>
      </c>
      <c r="I30" s="345"/>
      <c r="J30" s="344">
        <f>K29*12</f>
        <v>5282.28</v>
      </c>
      <c r="K30" s="34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22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 t="s">
        <v>136</v>
      </c>
      <c r="B33" s="230">
        <v>5.5399999999999998E-2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5">
      <c r="A34" s="11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339" t="s">
        <v>140</v>
      </c>
      <c r="B35" s="341" t="s">
        <v>39</v>
      </c>
      <c r="C35" s="342"/>
      <c r="D35" s="341" t="s">
        <v>41</v>
      </c>
      <c r="E35" s="342"/>
      <c r="F35" s="341" t="s">
        <v>43</v>
      </c>
      <c r="G35" s="342"/>
      <c r="H35" s="341" t="s">
        <v>44</v>
      </c>
      <c r="I35" s="342"/>
      <c r="J35" s="341" t="s">
        <v>45</v>
      </c>
      <c r="K35" s="34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340"/>
      <c r="B36" s="26" t="s">
        <v>55</v>
      </c>
      <c r="C36" s="26" t="s">
        <v>58</v>
      </c>
      <c r="D36" s="26" t="s">
        <v>55</v>
      </c>
      <c r="E36" s="26" t="s">
        <v>58</v>
      </c>
      <c r="F36" s="26" t="s">
        <v>55</v>
      </c>
      <c r="G36" s="26" t="s">
        <v>58</v>
      </c>
      <c r="H36" s="26" t="s">
        <v>55</v>
      </c>
      <c r="I36" s="26" t="s">
        <v>58</v>
      </c>
      <c r="J36" s="26" t="s">
        <v>55</v>
      </c>
      <c r="K36" s="30" t="s">
        <v>58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32" t="s">
        <v>212</v>
      </c>
      <c r="B37" s="169">
        <v>1</v>
      </c>
      <c r="C37" s="170">
        <v>3650</v>
      </c>
      <c r="D37" s="41"/>
      <c r="E37" s="60">
        <f>+C37*(1+$B$33)</f>
        <v>3852.2099999999996</v>
      </c>
      <c r="F37" s="41">
        <f>+D37</f>
        <v>0</v>
      </c>
      <c r="G37" s="60">
        <f t="shared" ref="G37:G39" si="16">+E37*(1+$B$33)</f>
        <v>4065.622433999999</v>
      </c>
      <c r="H37" s="41">
        <f>+F37</f>
        <v>0</v>
      </c>
      <c r="I37" s="60">
        <f t="shared" ref="I37:I39" si="17">+G37*(1+$B$33)</f>
        <v>4290.8579168435981</v>
      </c>
      <c r="J37" s="41">
        <f>+H37</f>
        <v>0</v>
      </c>
      <c r="K37" s="62">
        <f t="shared" ref="K37:K39" si="18">+I37*(1+$B$33)</f>
        <v>4528.5714454367326</v>
      </c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</row>
    <row r="38" spans="1:26" ht="12.75" customHeight="1" x14ac:dyDescent="0.25">
      <c r="A38" s="250"/>
      <c r="B38" s="55"/>
      <c r="C38" s="55"/>
      <c r="D38" s="41"/>
      <c r="E38" s="60"/>
      <c r="F38" s="41"/>
      <c r="G38" s="60">
        <f t="shared" si="16"/>
        <v>0</v>
      </c>
      <c r="H38" s="41"/>
      <c r="I38" s="60">
        <f t="shared" si="17"/>
        <v>0</v>
      </c>
      <c r="J38" s="41"/>
      <c r="K38" s="62">
        <f t="shared" si="18"/>
        <v>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">
      <c r="A39" s="125" t="s">
        <v>36</v>
      </c>
      <c r="B39" s="127">
        <f>SUM(B37:B38)</f>
        <v>1</v>
      </c>
      <c r="C39" s="130">
        <f>B37*C37+B38*C38</f>
        <v>3650</v>
      </c>
      <c r="D39" s="127">
        <f>SUM(D37:D38)</f>
        <v>0</v>
      </c>
      <c r="E39" s="130">
        <f>+C39*(1+$B$33)</f>
        <v>3852.2099999999996</v>
      </c>
      <c r="F39" s="127">
        <f>SUM(F37:F38)</f>
        <v>0</v>
      </c>
      <c r="G39" s="130">
        <f t="shared" si="16"/>
        <v>4065.622433999999</v>
      </c>
      <c r="H39" s="127">
        <f>SUM(H37:H38)</f>
        <v>0</v>
      </c>
      <c r="I39" s="130">
        <f t="shared" si="17"/>
        <v>4290.8579168435981</v>
      </c>
      <c r="J39" s="127">
        <f>SUM(J37:J38)</f>
        <v>0</v>
      </c>
      <c r="K39" s="260">
        <f t="shared" si="18"/>
        <v>4528.5714454367326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35">
      <c r="A40" s="115"/>
      <c r="B40" s="4"/>
      <c r="C40" s="4"/>
      <c r="D40" s="264"/>
      <c r="E40" s="265"/>
      <c r="F40" s="26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264"/>
      <c r="E41" s="26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J3:K3"/>
    <mergeCell ref="B14:C14"/>
    <mergeCell ref="A3:A4"/>
    <mergeCell ref="B3:C3"/>
    <mergeCell ref="D3:E3"/>
    <mergeCell ref="F3:G3"/>
    <mergeCell ref="H3:I3"/>
    <mergeCell ref="A15:K15"/>
    <mergeCell ref="D14:E14"/>
    <mergeCell ref="F14:G14"/>
    <mergeCell ref="A18:A19"/>
    <mergeCell ref="B18:C18"/>
    <mergeCell ref="F18:G18"/>
    <mergeCell ref="H18:I18"/>
    <mergeCell ref="J18:K18"/>
    <mergeCell ref="H14:I14"/>
    <mergeCell ref="J14:K14"/>
    <mergeCell ref="J35:K35"/>
    <mergeCell ref="D18:E18"/>
    <mergeCell ref="D30:E30"/>
    <mergeCell ref="F30:G30"/>
    <mergeCell ref="H30:I30"/>
    <mergeCell ref="J30:K30"/>
    <mergeCell ref="A35:A36"/>
    <mergeCell ref="B35:C35"/>
    <mergeCell ref="D35:E35"/>
    <mergeCell ref="F35:G35"/>
    <mergeCell ref="H35:I35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showGridLines="0" tabSelected="1" topLeftCell="A61" workbookViewId="0">
      <selection activeCell="A72" sqref="A72"/>
    </sheetView>
  </sheetViews>
  <sheetFormatPr baseColWidth="10" defaultColWidth="12.6328125" defaultRowHeight="15" customHeight="1" x14ac:dyDescent="0.25"/>
  <cols>
    <col min="1" max="1" width="36.90625" customWidth="1"/>
    <col min="2" max="2" width="15.36328125" customWidth="1"/>
    <col min="3" max="3" width="13.7265625" customWidth="1"/>
    <col min="4" max="4" width="14.26953125" customWidth="1"/>
    <col min="5" max="5" width="13.26953125" customWidth="1"/>
    <col min="6" max="7" width="14.90625" customWidth="1"/>
    <col min="8" max="9" width="14.7265625" customWidth="1"/>
    <col min="10" max="10" width="16.08984375" customWidth="1"/>
    <col min="11" max="11" width="14.90625" customWidth="1"/>
    <col min="12" max="12" width="16.36328125" customWidth="1"/>
    <col min="13" max="14" width="15.36328125" customWidth="1"/>
    <col min="15" max="15" width="13.26953125" customWidth="1"/>
    <col min="16" max="16" width="16.7265625" customWidth="1"/>
    <col min="17" max="17" width="18.90625" customWidth="1"/>
    <col min="18" max="19" width="13.36328125" customWidth="1"/>
    <col min="20" max="26" width="10" customWidth="1"/>
  </cols>
  <sheetData>
    <row r="1" spans="1:26" ht="18" customHeight="1" x14ac:dyDescent="0.4">
      <c r="A1" s="369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8"/>
      <c r="Q1" s="5"/>
      <c r="R1" s="5"/>
      <c r="S1" s="5"/>
      <c r="T1" s="6"/>
      <c r="U1" s="6"/>
      <c r="V1" s="6"/>
      <c r="W1" s="6"/>
      <c r="X1" s="6"/>
      <c r="Y1" s="6"/>
      <c r="Z1" s="6"/>
    </row>
    <row r="2" spans="1:26" ht="15.75" customHeight="1" x14ac:dyDescent="0.35">
      <c r="A2" s="1"/>
      <c r="B2" s="5"/>
      <c r="C2" s="7"/>
      <c r="D2" s="7"/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</row>
    <row r="3" spans="1:26" ht="15.75" customHeight="1" x14ac:dyDescent="0.35">
      <c r="A3" s="370" t="s">
        <v>2</v>
      </c>
      <c r="B3" s="352"/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43"/>
      <c r="Q3" s="5"/>
      <c r="R3" s="5"/>
      <c r="S3" s="5"/>
      <c r="T3" s="6"/>
      <c r="U3" s="6"/>
      <c r="V3" s="6"/>
      <c r="W3" s="6"/>
      <c r="X3" s="6"/>
      <c r="Y3" s="6"/>
      <c r="Z3" s="6"/>
    </row>
    <row r="4" spans="1:26" ht="15.5" x14ac:dyDescent="0.35">
      <c r="A4" s="14"/>
      <c r="B4" s="359" t="s">
        <v>7</v>
      </c>
      <c r="C4" s="360"/>
      <c r="D4" s="361"/>
      <c r="E4" s="359" t="s">
        <v>10</v>
      </c>
      <c r="F4" s="360"/>
      <c r="G4" s="361"/>
      <c r="H4" s="359" t="s">
        <v>13</v>
      </c>
      <c r="I4" s="360"/>
      <c r="J4" s="361"/>
      <c r="K4" s="359" t="s">
        <v>15</v>
      </c>
      <c r="L4" s="360"/>
      <c r="M4" s="361"/>
      <c r="N4" s="359" t="s">
        <v>18</v>
      </c>
      <c r="O4" s="360"/>
      <c r="P4" s="362"/>
      <c r="Q4" s="19"/>
      <c r="R4" s="5"/>
      <c r="S4" s="5"/>
      <c r="T4" s="6"/>
      <c r="U4" s="6"/>
      <c r="V4" s="6"/>
      <c r="W4" s="6"/>
      <c r="X4" s="6"/>
      <c r="Y4" s="6"/>
      <c r="Z4" s="6"/>
    </row>
    <row r="5" spans="1:26" ht="15.5" x14ac:dyDescent="0.35">
      <c r="A5" s="24" t="s">
        <v>25</v>
      </c>
      <c r="B5" s="26" t="s">
        <v>30</v>
      </c>
      <c r="C5" s="26" t="s">
        <v>34</v>
      </c>
      <c r="D5" s="26" t="s">
        <v>36</v>
      </c>
      <c r="E5" s="26" t="s">
        <v>30</v>
      </c>
      <c r="F5" s="26" t="s">
        <v>38</v>
      </c>
      <c r="G5" s="26" t="s">
        <v>36</v>
      </c>
      <c r="H5" s="26" t="s">
        <v>30</v>
      </c>
      <c r="I5" s="26" t="s">
        <v>38</v>
      </c>
      <c r="J5" s="26" t="s">
        <v>36</v>
      </c>
      <c r="K5" s="26" t="s">
        <v>30</v>
      </c>
      <c r="L5" s="26" t="s">
        <v>38</v>
      </c>
      <c r="M5" s="26" t="s">
        <v>36</v>
      </c>
      <c r="N5" s="26" t="s">
        <v>30</v>
      </c>
      <c r="O5" s="26" t="s">
        <v>38</v>
      </c>
      <c r="P5" s="30" t="s">
        <v>36</v>
      </c>
      <c r="Q5" s="1"/>
      <c r="R5" s="5"/>
      <c r="S5" s="5"/>
      <c r="T5" s="6"/>
      <c r="U5" s="6"/>
      <c r="V5" s="6"/>
      <c r="W5" s="6"/>
      <c r="X5" s="6"/>
      <c r="Y5" s="6"/>
      <c r="Z5" s="6"/>
    </row>
    <row r="6" spans="1:26" ht="15.5" x14ac:dyDescent="0.35">
      <c r="A6" s="32" t="s">
        <v>204</v>
      </c>
      <c r="B6" s="34">
        <v>325</v>
      </c>
      <c r="C6" s="35">
        <v>733.48</v>
      </c>
      <c r="D6" s="37">
        <f t="shared" ref="D6:D11" si="0">B6*C6</f>
        <v>238381</v>
      </c>
      <c r="E6" s="41">
        <v>652</v>
      </c>
      <c r="F6" s="44">
        <f t="shared" ref="F6:F11" si="1">+C6*(1+$F$14)</f>
        <v>733.48</v>
      </c>
      <c r="G6" s="48">
        <f t="shared" ref="G6:G11" si="2">E6*F6</f>
        <v>478228.96</v>
      </c>
      <c r="H6" s="49">
        <v>754</v>
      </c>
      <c r="I6" s="44">
        <f>+F6*(1+$F$14)</f>
        <v>733.48</v>
      </c>
      <c r="J6" s="44">
        <f t="shared" ref="J6:J11" si="3">H6*I6</f>
        <v>553043.92000000004</v>
      </c>
      <c r="K6" s="41">
        <v>869</v>
      </c>
      <c r="L6" s="44">
        <f>+I6*(1+$F$14)</f>
        <v>733.48</v>
      </c>
      <c r="M6" s="44">
        <f t="shared" ref="M6:M11" si="4">K6*L6</f>
        <v>637394.12</v>
      </c>
      <c r="N6" s="41">
        <v>1002</v>
      </c>
      <c r="O6" s="44">
        <f>+L6*(1+$F$14)</f>
        <v>733.48</v>
      </c>
      <c r="P6" s="54">
        <f t="shared" ref="P6:P11" si="5">N6*O6</f>
        <v>734946.96</v>
      </c>
      <c r="Q6" s="5"/>
      <c r="R6" s="5"/>
      <c r="S6" s="5"/>
      <c r="T6" s="6"/>
      <c r="U6" s="6"/>
      <c r="V6" s="6"/>
      <c r="W6" s="6"/>
      <c r="X6" s="6"/>
      <c r="Y6" s="6"/>
      <c r="Z6" s="6"/>
    </row>
    <row r="7" spans="1:26" ht="15.5" x14ac:dyDescent="0.35">
      <c r="A7" s="57"/>
      <c r="B7" s="34"/>
      <c r="C7" s="35"/>
      <c r="D7" s="37">
        <f t="shared" si="0"/>
        <v>0</v>
      </c>
      <c r="E7" s="41">
        <f t="shared" ref="E7:E8" si="6">+B7*(1+$F$13)</f>
        <v>0</v>
      </c>
      <c r="F7" s="44">
        <f t="shared" si="1"/>
        <v>0</v>
      </c>
      <c r="G7" s="48">
        <f t="shared" si="2"/>
        <v>0</v>
      </c>
      <c r="H7" s="49">
        <f t="shared" ref="H7:H8" si="7">+E7*(1+$I$13)</f>
        <v>0</v>
      </c>
      <c r="I7" s="44">
        <f t="shared" ref="I7:I11" si="8">+F7*(1+$I$14)</f>
        <v>0</v>
      </c>
      <c r="J7" s="44">
        <f t="shared" si="3"/>
        <v>0</v>
      </c>
      <c r="K7" s="41">
        <f t="shared" ref="K7:K8" si="9">+H7*(1+$L$13)</f>
        <v>0</v>
      </c>
      <c r="L7" s="44">
        <f t="shared" ref="L7:L12" si="10">+I7*(1+$L$14)</f>
        <v>0</v>
      </c>
      <c r="M7" s="44">
        <f t="shared" si="4"/>
        <v>0</v>
      </c>
      <c r="N7" s="41">
        <f t="shared" ref="N7:N8" si="11">+K7*(1+$O$13)</f>
        <v>0</v>
      </c>
      <c r="O7" s="44">
        <f t="shared" ref="O7:O12" si="12">+L7*(1+$O$14)</f>
        <v>0</v>
      </c>
      <c r="P7" s="54">
        <f t="shared" si="5"/>
        <v>0</v>
      </c>
      <c r="Q7" s="5"/>
      <c r="R7" s="5"/>
      <c r="S7" s="5"/>
      <c r="T7" s="6"/>
      <c r="U7" s="6"/>
      <c r="V7" s="6"/>
      <c r="W7" s="6"/>
      <c r="X7" s="6"/>
      <c r="Y7" s="6"/>
      <c r="Z7" s="6"/>
    </row>
    <row r="8" spans="1:26" ht="15.5" x14ac:dyDescent="0.35">
      <c r="A8" s="32"/>
      <c r="B8" s="73"/>
      <c r="C8" s="75"/>
      <c r="D8" s="37">
        <f t="shared" si="0"/>
        <v>0</v>
      </c>
      <c r="E8" s="77">
        <f t="shared" si="6"/>
        <v>0</v>
      </c>
      <c r="F8" s="78">
        <f t="shared" si="1"/>
        <v>0</v>
      </c>
      <c r="G8" s="79">
        <f t="shared" si="2"/>
        <v>0</v>
      </c>
      <c r="H8" s="80">
        <f t="shared" si="7"/>
        <v>0</v>
      </c>
      <c r="I8" s="78">
        <f t="shared" si="8"/>
        <v>0</v>
      </c>
      <c r="J8" s="44">
        <f t="shared" si="3"/>
        <v>0</v>
      </c>
      <c r="K8" s="77">
        <f t="shared" si="9"/>
        <v>0</v>
      </c>
      <c r="L8" s="78">
        <f t="shared" si="10"/>
        <v>0</v>
      </c>
      <c r="M8" s="78">
        <f t="shared" si="4"/>
        <v>0</v>
      </c>
      <c r="N8" s="77">
        <f t="shared" si="11"/>
        <v>0</v>
      </c>
      <c r="O8" s="78">
        <f t="shared" si="12"/>
        <v>0</v>
      </c>
      <c r="P8" s="83">
        <f t="shared" si="5"/>
        <v>0</v>
      </c>
      <c r="Q8" s="5"/>
      <c r="R8" s="5"/>
      <c r="S8" s="5"/>
      <c r="T8" s="6"/>
      <c r="U8" s="6"/>
      <c r="V8" s="6"/>
      <c r="W8" s="6"/>
      <c r="X8" s="6"/>
      <c r="Y8" s="6"/>
      <c r="Z8" s="6"/>
    </row>
    <row r="9" spans="1:26" ht="15.5" x14ac:dyDescent="0.35">
      <c r="A9" s="84"/>
      <c r="B9" s="34"/>
      <c r="C9" s="75"/>
      <c r="D9" s="37">
        <f t="shared" si="0"/>
        <v>0</v>
      </c>
      <c r="E9" s="49">
        <f>B9*(1+$F$13)</f>
        <v>0</v>
      </c>
      <c r="F9" s="48">
        <f t="shared" si="1"/>
        <v>0</v>
      </c>
      <c r="G9" s="79">
        <f t="shared" si="2"/>
        <v>0</v>
      </c>
      <c r="H9" s="87">
        <f>E9*(1+F13)</f>
        <v>0</v>
      </c>
      <c r="I9" s="78">
        <f t="shared" si="8"/>
        <v>0</v>
      </c>
      <c r="J9" s="48">
        <f t="shared" si="3"/>
        <v>0</v>
      </c>
      <c r="K9" s="49">
        <f>H9*(1+$L$13)</f>
        <v>0</v>
      </c>
      <c r="L9" s="78">
        <f t="shared" si="10"/>
        <v>0</v>
      </c>
      <c r="M9" s="78">
        <f t="shared" si="4"/>
        <v>0</v>
      </c>
      <c r="N9" s="89">
        <f>K9*(1+$O$13)</f>
        <v>0</v>
      </c>
      <c r="O9" s="78">
        <f t="shared" si="12"/>
        <v>0</v>
      </c>
      <c r="P9" s="83">
        <f t="shared" si="5"/>
        <v>0</v>
      </c>
      <c r="Q9" s="5"/>
      <c r="R9" s="5"/>
      <c r="S9" s="5"/>
      <c r="T9" s="6"/>
      <c r="U9" s="6"/>
      <c r="V9" s="6"/>
      <c r="W9" s="6"/>
      <c r="X9" s="6"/>
      <c r="Y9" s="6"/>
      <c r="Z9" s="6"/>
    </row>
    <row r="10" spans="1:26" ht="15.5" x14ac:dyDescent="0.35">
      <c r="A10" s="32"/>
      <c r="B10" s="90"/>
      <c r="C10" s="91"/>
      <c r="D10" s="37">
        <f t="shared" si="0"/>
        <v>0</v>
      </c>
      <c r="E10" s="93">
        <f t="shared" ref="E10:E11" si="13">+B10*(1+$F$13)</f>
        <v>0</v>
      </c>
      <c r="F10" s="48">
        <f t="shared" si="1"/>
        <v>0</v>
      </c>
      <c r="G10" s="79">
        <f t="shared" si="2"/>
        <v>0</v>
      </c>
      <c r="H10" s="87">
        <f t="shared" ref="H10:H11" si="14">+E10*(1+$I$13)</f>
        <v>0</v>
      </c>
      <c r="I10" s="78">
        <f t="shared" si="8"/>
        <v>0</v>
      </c>
      <c r="J10" s="48">
        <f t="shared" si="3"/>
        <v>0</v>
      </c>
      <c r="K10" s="93">
        <f t="shared" ref="K10:K11" si="15">+H10*(1+$L$13)</f>
        <v>0</v>
      </c>
      <c r="L10" s="94">
        <f t="shared" si="10"/>
        <v>0</v>
      </c>
      <c r="M10" s="94">
        <f t="shared" si="4"/>
        <v>0</v>
      </c>
      <c r="N10" s="93">
        <f t="shared" ref="N10:N11" si="16">+K10*(1+$O$13)</f>
        <v>0</v>
      </c>
      <c r="O10" s="94">
        <f t="shared" si="12"/>
        <v>0</v>
      </c>
      <c r="P10" s="95">
        <f t="shared" si="5"/>
        <v>0</v>
      </c>
      <c r="Q10" s="5"/>
      <c r="R10" s="5"/>
      <c r="S10" s="5"/>
      <c r="T10" s="6"/>
      <c r="U10" s="6"/>
      <c r="V10" s="6"/>
      <c r="W10" s="6"/>
      <c r="X10" s="6"/>
      <c r="Y10" s="6"/>
      <c r="Z10" s="6"/>
    </row>
    <row r="11" spans="1:26" ht="15.5" x14ac:dyDescent="0.35">
      <c r="A11" s="32"/>
      <c r="B11" s="49"/>
      <c r="C11" s="97"/>
      <c r="D11" s="37">
        <f t="shared" si="0"/>
        <v>0</v>
      </c>
      <c r="E11" s="41">
        <f t="shared" si="13"/>
        <v>0</v>
      </c>
      <c r="F11" s="44">
        <f t="shared" si="1"/>
        <v>0</v>
      </c>
      <c r="G11" s="79">
        <f t="shared" si="2"/>
        <v>0</v>
      </c>
      <c r="H11" s="49">
        <f t="shared" si="14"/>
        <v>0</v>
      </c>
      <c r="I11" s="78">
        <f t="shared" si="8"/>
        <v>0</v>
      </c>
      <c r="J11" s="44">
        <f t="shared" si="3"/>
        <v>0</v>
      </c>
      <c r="K11" s="41">
        <f t="shared" si="15"/>
        <v>0</v>
      </c>
      <c r="L11" s="44">
        <f t="shared" si="10"/>
        <v>0</v>
      </c>
      <c r="M11" s="44">
        <f t="shared" si="4"/>
        <v>0</v>
      </c>
      <c r="N11" s="41">
        <f t="shared" si="16"/>
        <v>0</v>
      </c>
      <c r="O11" s="44">
        <f t="shared" si="12"/>
        <v>0</v>
      </c>
      <c r="P11" s="54">
        <f t="shared" si="5"/>
        <v>0</v>
      </c>
      <c r="Q11" s="5"/>
      <c r="R11" s="5"/>
      <c r="S11" s="5"/>
      <c r="T11" s="6"/>
      <c r="U11" s="6"/>
      <c r="V11" s="6"/>
      <c r="W11" s="6"/>
      <c r="X11" s="6"/>
      <c r="Y11" s="6"/>
      <c r="Z11" s="6"/>
    </row>
    <row r="12" spans="1:26" ht="15.75" customHeight="1" x14ac:dyDescent="0.35">
      <c r="A12" s="104" t="s">
        <v>36</v>
      </c>
      <c r="B12" s="105"/>
      <c r="C12" s="106"/>
      <c r="D12" s="107">
        <f t="shared" ref="D12:E12" si="17">SUM(D6:D11)</f>
        <v>238381</v>
      </c>
      <c r="E12" s="105">
        <f t="shared" si="17"/>
        <v>652</v>
      </c>
      <c r="F12" s="108"/>
      <c r="G12" s="109">
        <f t="shared" ref="G12:H12" si="18">SUM(G6:G11)</f>
        <v>478228.96</v>
      </c>
      <c r="H12" s="110">
        <f t="shared" si="18"/>
        <v>754</v>
      </c>
      <c r="I12" s="108"/>
      <c r="J12" s="109">
        <f t="shared" ref="J12:K12" si="19">SUM(J6:J11)</f>
        <v>553043.92000000004</v>
      </c>
      <c r="K12" s="113">
        <f t="shared" si="19"/>
        <v>869</v>
      </c>
      <c r="L12" s="114">
        <f t="shared" si="10"/>
        <v>0</v>
      </c>
      <c r="M12" s="109">
        <f t="shared" ref="M12:N12" si="20">SUM(M6:M11)</f>
        <v>637394.12</v>
      </c>
      <c r="N12" s="113">
        <f t="shared" si="20"/>
        <v>1002</v>
      </c>
      <c r="O12" s="108">
        <f t="shared" si="12"/>
        <v>0</v>
      </c>
      <c r="P12" s="116">
        <f>SUM(P6:P11)</f>
        <v>734946.96</v>
      </c>
      <c r="Q12" s="4"/>
      <c r="R12" s="4"/>
      <c r="S12" s="4"/>
      <c r="T12" s="115"/>
      <c r="U12" s="115"/>
      <c r="V12" s="115"/>
      <c r="W12" s="115"/>
      <c r="X12" s="115"/>
      <c r="Y12" s="115"/>
      <c r="Z12" s="115"/>
    </row>
    <row r="13" spans="1:26" ht="15.5" x14ac:dyDescent="0.35">
      <c r="A13" s="5"/>
      <c r="B13" s="119"/>
      <c r="C13" s="5"/>
      <c r="D13" s="119"/>
      <c r="E13" s="120" t="s">
        <v>94</v>
      </c>
      <c r="F13" s="121">
        <v>0</v>
      </c>
      <c r="G13" s="122"/>
      <c r="H13" s="123" t="s">
        <v>95</v>
      </c>
      <c r="I13" s="121">
        <f t="shared" ref="I13:I14" si="21">+F13</f>
        <v>0</v>
      </c>
      <c r="J13" s="122"/>
      <c r="K13" s="123" t="s">
        <v>95</v>
      </c>
      <c r="L13" s="121">
        <f>+F13</f>
        <v>0</v>
      </c>
      <c r="M13" s="122"/>
      <c r="N13" s="123" t="s">
        <v>95</v>
      </c>
      <c r="O13" s="121">
        <f t="shared" ref="O13:O14" si="22">+F13</f>
        <v>0</v>
      </c>
      <c r="P13" s="5"/>
      <c r="Q13" s="5"/>
      <c r="R13" s="5"/>
      <c r="S13" s="5"/>
      <c r="T13" s="6"/>
      <c r="U13" s="6"/>
      <c r="V13" s="6"/>
      <c r="W13" s="6"/>
      <c r="X13" s="6"/>
      <c r="Y13" s="6"/>
      <c r="Z13" s="6"/>
    </row>
    <row r="14" spans="1:26" ht="15.5" x14ac:dyDescent="0.35">
      <c r="A14" s="5"/>
      <c r="B14" s="5"/>
      <c r="C14" s="119"/>
      <c r="D14" s="119"/>
      <c r="E14" s="120" t="s">
        <v>97</v>
      </c>
      <c r="F14" s="121">
        <v>0</v>
      </c>
      <c r="G14" s="5"/>
      <c r="H14" s="123" t="s">
        <v>98</v>
      </c>
      <c r="I14" s="121">
        <f t="shared" si="21"/>
        <v>0</v>
      </c>
      <c r="J14" s="5"/>
      <c r="K14" s="123" t="s">
        <v>98</v>
      </c>
      <c r="L14" s="121">
        <f>+I14</f>
        <v>0</v>
      </c>
      <c r="M14" s="5"/>
      <c r="N14" s="123" t="s">
        <v>98</v>
      </c>
      <c r="O14" s="121">
        <f t="shared" si="22"/>
        <v>0</v>
      </c>
      <c r="P14" s="5"/>
      <c r="Q14" s="5"/>
      <c r="R14" s="5"/>
      <c r="S14" s="5"/>
      <c r="T14" s="6"/>
      <c r="U14" s="6"/>
      <c r="V14" s="6"/>
      <c r="W14" s="6"/>
      <c r="X14" s="6"/>
      <c r="Y14" s="6"/>
      <c r="Z14" s="6"/>
    </row>
    <row r="15" spans="1:26" ht="15.5" x14ac:dyDescent="0.35">
      <c r="A15" s="5"/>
      <c r="B15" s="5"/>
      <c r="C15" s="119"/>
      <c r="D15" s="119"/>
      <c r="E15" s="129"/>
      <c r="F15" s="131"/>
      <c r="G15" s="4"/>
      <c r="H15" s="11"/>
      <c r="I15" s="131"/>
      <c r="J15" s="4"/>
      <c r="K15" s="131"/>
      <c r="L15" s="131"/>
      <c r="M15" s="4"/>
      <c r="N15" s="11"/>
      <c r="O15" s="131"/>
      <c r="P15" s="4"/>
      <c r="Q15" s="5"/>
      <c r="R15" s="5"/>
      <c r="S15" s="5"/>
      <c r="T15" s="6"/>
      <c r="U15" s="6"/>
      <c r="V15" s="6"/>
      <c r="W15" s="6"/>
      <c r="X15" s="6"/>
      <c r="Y15" s="6"/>
      <c r="Z15" s="6"/>
    </row>
    <row r="16" spans="1:26" ht="15.75" customHeight="1" x14ac:dyDescent="0.35">
      <c r="A16" s="5"/>
      <c r="B16" s="5"/>
      <c r="C16" s="119"/>
      <c r="D16" s="119"/>
      <c r="E16" s="129"/>
      <c r="F16" s="131"/>
      <c r="G16" s="4"/>
      <c r="H16" s="11"/>
      <c r="I16" s="131"/>
      <c r="J16" s="4"/>
      <c r="K16" s="131"/>
      <c r="L16" s="131"/>
      <c r="M16" s="4"/>
      <c r="N16" s="11"/>
      <c r="O16" s="131"/>
      <c r="P16" s="134"/>
      <c r="Q16" s="134"/>
      <c r="R16" s="5"/>
      <c r="S16" s="5"/>
      <c r="T16" s="6"/>
      <c r="U16" s="6"/>
      <c r="V16" s="6"/>
      <c r="W16" s="6"/>
      <c r="X16" s="6"/>
      <c r="Y16" s="6"/>
      <c r="Z16" s="6"/>
    </row>
    <row r="17" spans="1:26" ht="15.75" customHeight="1" x14ac:dyDescent="0.35">
      <c r="A17" s="366" t="s">
        <v>101</v>
      </c>
      <c r="B17" s="352"/>
      <c r="C17" s="352"/>
      <c r="D17" s="352"/>
      <c r="E17" s="352"/>
      <c r="F17" s="352"/>
      <c r="G17" s="352"/>
      <c r="H17" s="352"/>
      <c r="I17" s="352"/>
      <c r="J17" s="352"/>
      <c r="K17" s="352"/>
      <c r="L17" s="352"/>
      <c r="M17" s="343"/>
      <c r="N17" s="137"/>
      <c r="O17" s="137"/>
      <c r="P17" s="134"/>
      <c r="Q17" s="134"/>
      <c r="R17" s="5"/>
      <c r="S17" s="5"/>
      <c r="T17" s="6"/>
      <c r="U17" s="6"/>
      <c r="V17" s="6"/>
      <c r="W17" s="6"/>
      <c r="X17" s="6"/>
      <c r="Y17" s="6"/>
      <c r="Z17" s="6"/>
    </row>
    <row r="18" spans="1:26" ht="25.5" customHeight="1" x14ac:dyDescent="0.35">
      <c r="A18" s="140"/>
      <c r="B18" s="363" t="str">
        <f>A6</f>
        <v>Suscripción Mensual</v>
      </c>
      <c r="C18" s="361"/>
      <c r="D18" s="367">
        <f>A7</f>
        <v>0</v>
      </c>
      <c r="E18" s="361"/>
      <c r="F18" s="363">
        <f>+A8</f>
        <v>0</v>
      </c>
      <c r="G18" s="361"/>
      <c r="H18" s="363">
        <f>A9</f>
        <v>0</v>
      </c>
      <c r="I18" s="361"/>
      <c r="J18" s="363">
        <f>+A10</f>
        <v>0</v>
      </c>
      <c r="K18" s="362"/>
      <c r="L18" s="368" t="s">
        <v>90</v>
      </c>
      <c r="M18" s="362"/>
      <c r="N18" s="358"/>
      <c r="O18" s="338"/>
      <c r="P18" s="134"/>
      <c r="Q18" s="134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5">
      <c r="A19" s="141"/>
      <c r="B19" s="26" t="s">
        <v>103</v>
      </c>
      <c r="C19" s="142"/>
      <c r="D19" s="26" t="s">
        <v>103</v>
      </c>
      <c r="E19" s="142"/>
      <c r="F19" s="26" t="s">
        <v>103</v>
      </c>
      <c r="G19" s="142"/>
      <c r="H19" s="26" t="s">
        <v>103</v>
      </c>
      <c r="I19" s="142"/>
      <c r="J19" s="26" t="s">
        <v>103</v>
      </c>
      <c r="K19" s="144"/>
      <c r="L19" s="26" t="s">
        <v>103</v>
      </c>
      <c r="M19" s="144"/>
      <c r="N19" s="129"/>
      <c r="O19" s="145"/>
      <c r="P19" s="134"/>
      <c r="Q19" s="134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5">
      <c r="A20" s="146" t="s">
        <v>106</v>
      </c>
      <c r="B20" s="35">
        <v>1467.69</v>
      </c>
      <c r="C20" s="148"/>
      <c r="D20" s="35">
        <v>25</v>
      </c>
      <c r="E20" s="148"/>
      <c r="F20" s="35">
        <v>30</v>
      </c>
      <c r="G20" s="148"/>
      <c r="H20" s="35">
        <v>12</v>
      </c>
      <c r="I20" s="148"/>
      <c r="J20" s="35">
        <v>50</v>
      </c>
      <c r="K20" s="42"/>
      <c r="L20" s="35">
        <v>80</v>
      </c>
      <c r="M20" s="42"/>
      <c r="N20" s="149"/>
      <c r="O20" s="150"/>
      <c r="P20" s="134"/>
      <c r="Q20" s="134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146"/>
      <c r="B21" s="35"/>
      <c r="C21" s="148"/>
      <c r="D21" s="35"/>
      <c r="E21" s="148"/>
      <c r="F21" s="35">
        <v>0</v>
      </c>
      <c r="G21" s="148"/>
      <c r="H21" s="35">
        <v>0</v>
      </c>
      <c r="I21" s="148"/>
      <c r="J21" s="35">
        <v>0</v>
      </c>
      <c r="K21" s="42"/>
      <c r="L21" s="35">
        <v>0</v>
      </c>
      <c r="M21" s="42"/>
      <c r="N21" s="149"/>
      <c r="O21" s="150"/>
      <c r="P21" s="134"/>
      <c r="Q21" s="134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154" t="s">
        <v>108</v>
      </c>
      <c r="B22" s="156">
        <f>SUM(B20:B21)</f>
        <v>1467.69</v>
      </c>
      <c r="C22" s="157"/>
      <c r="D22" s="156">
        <f>SUM(D20:D21)</f>
        <v>25</v>
      </c>
      <c r="E22" s="157"/>
      <c r="F22" s="156">
        <f>SUM(F20:F21)</f>
        <v>30</v>
      </c>
      <c r="G22" s="157"/>
      <c r="H22" s="156">
        <f>SUM(H20:H21)</f>
        <v>12</v>
      </c>
      <c r="I22" s="157"/>
      <c r="J22" s="156">
        <f>SUM(J20:J21)</f>
        <v>50</v>
      </c>
      <c r="K22" s="159"/>
      <c r="L22" s="156">
        <f>SUM(L20:L21)</f>
        <v>80</v>
      </c>
      <c r="M22" s="159"/>
      <c r="N22" s="160"/>
      <c r="O22" s="161"/>
      <c r="P22" s="162"/>
      <c r="Q22" s="134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165"/>
      <c r="B23" s="160"/>
      <c r="C23" s="161"/>
      <c r="D23" s="160"/>
      <c r="E23" s="161"/>
      <c r="F23" s="160"/>
      <c r="G23" s="161"/>
      <c r="H23" s="160"/>
      <c r="I23" s="161"/>
      <c r="J23" s="160"/>
      <c r="K23" s="161"/>
      <c r="L23" s="160"/>
      <c r="M23" s="161"/>
      <c r="N23" s="160"/>
      <c r="O23" s="161"/>
      <c r="P23" s="162"/>
      <c r="Q23" s="134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5"/>
      <c r="B24" s="5"/>
      <c r="C24" s="5"/>
      <c r="D24" s="5"/>
      <c r="E24" s="8"/>
      <c r="F24" s="5"/>
      <c r="G24" s="5"/>
      <c r="H24" s="5"/>
      <c r="I24" s="5"/>
      <c r="J24" s="5"/>
      <c r="K24" s="5"/>
      <c r="L24" s="122"/>
      <c r="M24" s="5"/>
      <c r="N24" s="5"/>
      <c r="O24" s="5"/>
      <c r="P24" s="5"/>
      <c r="Q24" s="5"/>
      <c r="R24" s="5"/>
      <c r="S24" s="5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364" t="s">
        <v>112</v>
      </c>
      <c r="B25" s="338"/>
      <c r="C25" s="167">
        <v>6.6199999999999995E-2</v>
      </c>
      <c r="D25" s="365"/>
      <c r="E25" s="354"/>
      <c r="F25" s="354"/>
      <c r="G25" s="35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5"/>
      <c r="B26" s="5"/>
      <c r="C26" s="5"/>
      <c r="D26" s="5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351" t="s">
        <v>115</v>
      </c>
      <c r="B27" s="352"/>
      <c r="C27" s="352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43"/>
      <c r="Q27" s="5"/>
      <c r="R27" s="5"/>
      <c r="S27" s="5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14"/>
      <c r="B28" s="359" t="s">
        <v>7</v>
      </c>
      <c r="C28" s="360"/>
      <c r="D28" s="361"/>
      <c r="E28" s="359" t="s">
        <v>10</v>
      </c>
      <c r="F28" s="360"/>
      <c r="G28" s="361"/>
      <c r="H28" s="359" t="s">
        <v>13</v>
      </c>
      <c r="I28" s="360"/>
      <c r="J28" s="361"/>
      <c r="K28" s="359" t="s">
        <v>15</v>
      </c>
      <c r="L28" s="360"/>
      <c r="M28" s="361"/>
      <c r="N28" s="359" t="s">
        <v>18</v>
      </c>
      <c r="O28" s="360"/>
      <c r="P28" s="362"/>
      <c r="Q28" s="5"/>
      <c r="R28" s="5"/>
      <c r="S28" s="5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172" t="s">
        <v>117</v>
      </c>
      <c r="B29" s="173" t="s">
        <v>30</v>
      </c>
      <c r="C29" s="173" t="s">
        <v>118</v>
      </c>
      <c r="D29" s="173" t="s">
        <v>36</v>
      </c>
      <c r="E29" s="173" t="s">
        <v>30</v>
      </c>
      <c r="F29" s="173" t="s">
        <v>118</v>
      </c>
      <c r="G29" s="173" t="s">
        <v>36</v>
      </c>
      <c r="H29" s="173" t="s">
        <v>30</v>
      </c>
      <c r="I29" s="173" t="s">
        <v>118</v>
      </c>
      <c r="J29" s="173" t="s">
        <v>36</v>
      </c>
      <c r="K29" s="173" t="s">
        <v>30</v>
      </c>
      <c r="L29" s="173" t="s">
        <v>118</v>
      </c>
      <c r="M29" s="173" t="s">
        <v>36</v>
      </c>
      <c r="N29" s="173" t="s">
        <v>30</v>
      </c>
      <c r="O29" s="173" t="s">
        <v>118</v>
      </c>
      <c r="P29" s="174" t="s">
        <v>36</v>
      </c>
      <c r="Q29" s="5"/>
      <c r="R29" s="5"/>
      <c r="S29" s="5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175" t="str">
        <f t="shared" ref="A30:B30" si="23">A6</f>
        <v>Suscripción Mensual</v>
      </c>
      <c r="B30" s="176">
        <f t="shared" si="23"/>
        <v>325</v>
      </c>
      <c r="C30" s="37">
        <f>+B22</f>
        <v>1467.69</v>
      </c>
      <c r="D30" s="37">
        <f t="shared" ref="D30:D35" si="24">B30*C30</f>
        <v>476999.25</v>
      </c>
      <c r="E30" s="176">
        <f t="shared" ref="E30:E35" si="25">E6</f>
        <v>652</v>
      </c>
      <c r="F30" s="48">
        <f t="shared" ref="F30:F35" si="26">C30*(1+$C$25)</f>
        <v>1564.8510780000001</v>
      </c>
      <c r="G30" s="48">
        <f t="shared" ref="G30:G35" si="27">E30*F30</f>
        <v>1020282.9028560001</v>
      </c>
      <c r="H30" s="176">
        <f t="shared" ref="H30:H35" si="28">H6</f>
        <v>754</v>
      </c>
      <c r="I30" s="48">
        <f t="shared" ref="I30:I35" si="29">F30*(1+$C$25)</f>
        <v>1668.4442193636003</v>
      </c>
      <c r="J30" s="48">
        <f t="shared" ref="J30:J35" si="30">H30*I30</f>
        <v>1258006.9414001545</v>
      </c>
      <c r="K30" s="176">
        <f t="shared" ref="K30:K35" si="31">K6</f>
        <v>869</v>
      </c>
      <c r="L30" s="48">
        <f t="shared" ref="L30:L35" si="32">I30*(1+$C$25)</f>
        <v>1778.8952266854706</v>
      </c>
      <c r="M30" s="48">
        <f t="shared" ref="M30:M35" si="33">K30*L30</f>
        <v>1545859.951989674</v>
      </c>
      <c r="N30" s="176">
        <f t="shared" ref="N30:N35" si="34">N6</f>
        <v>1002</v>
      </c>
      <c r="O30" s="48">
        <f t="shared" ref="O30:O35" si="35">L30*(1+$C$25)</f>
        <v>1896.6580906920487</v>
      </c>
      <c r="P30" s="178">
        <f t="shared" ref="P30:P35" si="36">N30*O30</f>
        <v>1900451.4068734329</v>
      </c>
      <c r="Q30" s="5"/>
      <c r="R30" s="5"/>
      <c r="S30" s="5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180">
        <f t="shared" ref="A31:B31" si="37">A7</f>
        <v>0</v>
      </c>
      <c r="B31" s="176">
        <f t="shared" si="37"/>
        <v>0</v>
      </c>
      <c r="C31" s="37">
        <f>+D22</f>
        <v>25</v>
      </c>
      <c r="D31" s="37">
        <f t="shared" si="24"/>
        <v>0</v>
      </c>
      <c r="E31" s="176">
        <f t="shared" si="25"/>
        <v>0</v>
      </c>
      <c r="F31" s="48">
        <f t="shared" si="26"/>
        <v>26.655000000000001</v>
      </c>
      <c r="G31" s="48">
        <f t="shared" si="27"/>
        <v>0</v>
      </c>
      <c r="H31" s="181">
        <f t="shared" si="28"/>
        <v>0</v>
      </c>
      <c r="I31" s="79">
        <f t="shared" si="29"/>
        <v>28.419561000000002</v>
      </c>
      <c r="J31" s="79">
        <f t="shared" si="30"/>
        <v>0</v>
      </c>
      <c r="K31" s="181">
        <f t="shared" si="31"/>
        <v>0</v>
      </c>
      <c r="L31" s="79">
        <f t="shared" si="32"/>
        <v>30.300935938200002</v>
      </c>
      <c r="M31" s="79">
        <f t="shared" si="33"/>
        <v>0</v>
      </c>
      <c r="N31" s="181">
        <f t="shared" si="34"/>
        <v>0</v>
      </c>
      <c r="O31" s="79">
        <f t="shared" si="35"/>
        <v>32.306857897308845</v>
      </c>
      <c r="P31" s="182">
        <f t="shared" si="36"/>
        <v>0</v>
      </c>
      <c r="Q31" s="5"/>
      <c r="R31" s="5"/>
      <c r="S31" s="5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175">
        <f t="shared" ref="A32:B32" si="38">A8</f>
        <v>0</v>
      </c>
      <c r="B32" s="176">
        <f t="shared" si="38"/>
        <v>0</v>
      </c>
      <c r="C32" s="37">
        <f>+F22</f>
        <v>30</v>
      </c>
      <c r="D32" s="183">
        <f t="shared" si="24"/>
        <v>0</v>
      </c>
      <c r="E32" s="181">
        <f t="shared" si="25"/>
        <v>0</v>
      </c>
      <c r="F32" s="79">
        <f t="shared" si="26"/>
        <v>31.986000000000001</v>
      </c>
      <c r="G32" s="184">
        <f t="shared" si="27"/>
        <v>0</v>
      </c>
      <c r="H32" s="185">
        <f t="shared" si="28"/>
        <v>0</v>
      </c>
      <c r="I32" s="186">
        <f t="shared" si="29"/>
        <v>34.103473200000003</v>
      </c>
      <c r="J32" s="186">
        <f t="shared" si="30"/>
        <v>0</v>
      </c>
      <c r="K32" s="188">
        <f t="shared" si="31"/>
        <v>0</v>
      </c>
      <c r="L32" s="186">
        <f t="shared" si="32"/>
        <v>36.361123125840003</v>
      </c>
      <c r="M32" s="186">
        <f t="shared" si="33"/>
        <v>0</v>
      </c>
      <c r="N32" s="188">
        <f t="shared" si="34"/>
        <v>0</v>
      </c>
      <c r="O32" s="186">
        <f t="shared" si="35"/>
        <v>38.768229476770614</v>
      </c>
      <c r="P32" s="189">
        <f t="shared" si="36"/>
        <v>0</v>
      </c>
      <c r="Q32" s="5"/>
      <c r="R32" s="5"/>
      <c r="S32" s="5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175">
        <f t="shared" ref="A33:B33" si="39">A9</f>
        <v>0</v>
      </c>
      <c r="B33" s="176">
        <f t="shared" si="39"/>
        <v>0</v>
      </c>
      <c r="C33" s="191">
        <f>H22</f>
        <v>12</v>
      </c>
      <c r="D33" s="192">
        <f t="shared" si="24"/>
        <v>0</v>
      </c>
      <c r="E33" s="193">
        <f t="shared" si="25"/>
        <v>0</v>
      </c>
      <c r="F33" s="79">
        <f t="shared" si="26"/>
        <v>12.7944</v>
      </c>
      <c r="G33" s="196">
        <f t="shared" si="27"/>
        <v>0</v>
      </c>
      <c r="H33" s="199">
        <f t="shared" si="28"/>
        <v>0</v>
      </c>
      <c r="I33" s="186">
        <f t="shared" si="29"/>
        <v>13.64138928</v>
      </c>
      <c r="J33" s="201">
        <f t="shared" si="30"/>
        <v>0</v>
      </c>
      <c r="K33" s="199">
        <f t="shared" si="31"/>
        <v>0</v>
      </c>
      <c r="L33" s="186">
        <f t="shared" si="32"/>
        <v>14.544449250336001</v>
      </c>
      <c r="M33" s="196">
        <f t="shared" si="33"/>
        <v>0</v>
      </c>
      <c r="N33" s="199">
        <f t="shared" si="34"/>
        <v>0</v>
      </c>
      <c r="O33" s="186">
        <f t="shared" si="35"/>
        <v>15.507291790708244</v>
      </c>
      <c r="P33" s="196">
        <f t="shared" si="36"/>
        <v>0</v>
      </c>
      <c r="Q33" s="5"/>
      <c r="R33" s="5"/>
      <c r="S33" s="5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175">
        <f t="shared" ref="A34:B34" si="40">A10</f>
        <v>0</v>
      </c>
      <c r="B34" s="176">
        <f t="shared" si="40"/>
        <v>0</v>
      </c>
      <c r="C34" s="191">
        <v>50</v>
      </c>
      <c r="D34" s="203">
        <f t="shared" si="24"/>
        <v>0</v>
      </c>
      <c r="E34" s="204">
        <f t="shared" si="25"/>
        <v>0</v>
      </c>
      <c r="F34" s="201">
        <f t="shared" si="26"/>
        <v>53.31</v>
      </c>
      <c r="G34" s="205">
        <f t="shared" si="27"/>
        <v>0</v>
      </c>
      <c r="H34" s="206">
        <f t="shared" si="28"/>
        <v>0</v>
      </c>
      <c r="I34" s="207">
        <f t="shared" si="29"/>
        <v>56.839122000000003</v>
      </c>
      <c r="J34" s="207">
        <f t="shared" si="30"/>
        <v>0</v>
      </c>
      <c r="K34" s="206">
        <f t="shared" si="31"/>
        <v>0</v>
      </c>
      <c r="L34" s="208">
        <f t="shared" si="32"/>
        <v>60.601871876400004</v>
      </c>
      <c r="M34" s="209">
        <f t="shared" si="33"/>
        <v>0</v>
      </c>
      <c r="N34" s="210">
        <f t="shared" si="34"/>
        <v>0</v>
      </c>
      <c r="O34" s="207">
        <f t="shared" si="35"/>
        <v>64.61371579461769</v>
      </c>
      <c r="P34" s="211">
        <f t="shared" si="36"/>
        <v>0</v>
      </c>
      <c r="Q34" s="5"/>
      <c r="R34" s="5"/>
      <c r="S34" s="5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175">
        <f t="shared" ref="A35:B35" si="41">A11</f>
        <v>0</v>
      </c>
      <c r="B35" s="176">
        <f t="shared" si="41"/>
        <v>0</v>
      </c>
      <c r="C35" s="37">
        <v>80</v>
      </c>
      <c r="D35" s="212">
        <f t="shared" si="24"/>
        <v>0</v>
      </c>
      <c r="E35" s="206">
        <f t="shared" si="25"/>
        <v>0</v>
      </c>
      <c r="F35" s="207">
        <f t="shared" si="26"/>
        <v>85.296000000000006</v>
      </c>
      <c r="G35" s="48">
        <f t="shared" si="27"/>
        <v>0</v>
      </c>
      <c r="H35" s="176">
        <f t="shared" si="28"/>
        <v>0</v>
      </c>
      <c r="I35" s="48">
        <f t="shared" si="29"/>
        <v>90.942595200000014</v>
      </c>
      <c r="J35" s="48">
        <f t="shared" si="30"/>
        <v>0</v>
      </c>
      <c r="K35" s="176">
        <f t="shared" si="31"/>
        <v>0</v>
      </c>
      <c r="L35" s="48">
        <f t="shared" si="32"/>
        <v>96.962995002240021</v>
      </c>
      <c r="M35" s="48">
        <f t="shared" si="33"/>
        <v>0</v>
      </c>
      <c r="N35" s="176">
        <f t="shared" si="34"/>
        <v>0</v>
      </c>
      <c r="O35" s="48">
        <f t="shared" si="35"/>
        <v>103.38194527138832</v>
      </c>
      <c r="P35" s="178">
        <f t="shared" si="36"/>
        <v>0</v>
      </c>
      <c r="Q35" s="5"/>
      <c r="R35" s="5"/>
      <c r="S35" s="5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104" t="s">
        <v>108</v>
      </c>
      <c r="B36" s="105">
        <f>SUM(B30:B35)</f>
        <v>325</v>
      </c>
      <c r="C36" s="106"/>
      <c r="D36" s="106">
        <f t="shared" ref="D36:E36" si="42">SUM(D30:D35)</f>
        <v>476999.25</v>
      </c>
      <c r="E36" s="105">
        <f t="shared" si="42"/>
        <v>652</v>
      </c>
      <c r="F36" s="106"/>
      <c r="G36" s="213">
        <f t="shared" ref="G36:H36" si="43">SUM(G30:G35)</f>
        <v>1020282.9028560001</v>
      </c>
      <c r="H36" s="105">
        <f t="shared" si="43"/>
        <v>754</v>
      </c>
      <c r="I36" s="106"/>
      <c r="J36" s="213">
        <f t="shared" ref="J36:K36" si="44">SUM(J30:J35)</f>
        <v>1258006.9414001545</v>
      </c>
      <c r="K36" s="105">
        <f t="shared" si="44"/>
        <v>869</v>
      </c>
      <c r="L36" s="106"/>
      <c r="M36" s="213">
        <f t="shared" ref="M36:N36" si="45">SUM(M30:M35)</f>
        <v>1545859.951989674</v>
      </c>
      <c r="N36" s="105">
        <f t="shared" si="45"/>
        <v>1002</v>
      </c>
      <c r="O36" s="106"/>
      <c r="P36" s="214">
        <f>SUM(P30:P35)</f>
        <v>1900451.4068734329</v>
      </c>
      <c r="Q36" s="4"/>
      <c r="R36" s="4"/>
      <c r="S36" s="4"/>
      <c r="T36" s="115"/>
      <c r="U36" s="115"/>
      <c r="V36" s="115"/>
      <c r="W36" s="115"/>
      <c r="X36" s="115"/>
      <c r="Y36" s="115"/>
      <c r="Z36" s="115"/>
    </row>
    <row r="37" spans="1:26" ht="15.75" customHeight="1" x14ac:dyDescent="0.35">
      <c r="A37" s="215"/>
      <c r="B37" s="216"/>
      <c r="C37" s="217"/>
      <c r="D37" s="217"/>
      <c r="E37" s="218"/>
      <c r="F37" s="217"/>
      <c r="G37" s="217"/>
      <c r="H37" s="216"/>
      <c r="I37" s="217"/>
      <c r="J37" s="217"/>
      <c r="K37" s="216"/>
      <c r="L37" s="217"/>
      <c r="M37" s="217"/>
      <c r="N37" s="216"/>
      <c r="O37" s="217"/>
      <c r="P37" s="217"/>
      <c r="Q37" s="4"/>
      <c r="R37" s="4"/>
      <c r="S37" s="4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35">
      <c r="A38" s="215"/>
      <c r="B38" s="216"/>
      <c r="C38" s="217"/>
      <c r="D38" s="217"/>
      <c r="E38" s="218"/>
      <c r="F38" s="217"/>
      <c r="G38" s="217"/>
      <c r="H38" s="216"/>
      <c r="I38" s="217"/>
      <c r="J38" s="217"/>
      <c r="K38" s="216"/>
      <c r="L38" s="217"/>
      <c r="M38" s="217"/>
      <c r="N38" s="216"/>
      <c r="O38" s="217"/>
      <c r="P38" s="217"/>
      <c r="Q38" s="4"/>
      <c r="R38" s="4"/>
      <c r="S38" s="4"/>
      <c r="T38" s="115"/>
      <c r="U38" s="115"/>
      <c r="V38" s="115"/>
      <c r="W38" s="115"/>
      <c r="X38" s="115"/>
      <c r="Y38" s="115"/>
      <c r="Z38" s="115"/>
    </row>
    <row r="39" spans="1:26" ht="15.75" customHeight="1" x14ac:dyDescent="0.35">
      <c r="A39" s="1"/>
      <c r="B39" s="5"/>
      <c r="C39" s="122"/>
      <c r="D39" s="122"/>
      <c r="E39" s="8"/>
      <c r="F39" s="122"/>
      <c r="G39" s="122"/>
      <c r="H39" s="122"/>
      <c r="I39" s="122"/>
      <c r="J39" s="122"/>
      <c r="K39" s="122"/>
      <c r="L39" s="122"/>
      <c r="M39" s="122"/>
      <c r="N39" s="5"/>
      <c r="O39" s="122"/>
      <c r="P39" s="122"/>
      <c r="Q39" s="5"/>
      <c r="R39" s="5"/>
      <c r="S39" s="5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351" t="s">
        <v>127</v>
      </c>
      <c r="B40" s="352"/>
      <c r="C40" s="352"/>
      <c r="D40" s="352"/>
      <c r="E40" s="352"/>
      <c r="F40" s="343"/>
      <c r="G40" s="122"/>
      <c r="H40" s="122"/>
      <c r="I40" s="122"/>
      <c r="J40" s="122"/>
      <c r="K40" s="122"/>
      <c r="L40" s="122"/>
      <c r="M40" s="122"/>
      <c r="N40" s="5"/>
      <c r="O40" s="122"/>
      <c r="P40" s="122"/>
      <c r="Q40" s="5"/>
      <c r="R40" s="5"/>
      <c r="S40" s="5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355" t="s">
        <v>129</v>
      </c>
      <c r="B41" s="356" t="s">
        <v>7</v>
      </c>
      <c r="C41" s="356" t="s">
        <v>10</v>
      </c>
      <c r="D41" s="356" t="s">
        <v>13</v>
      </c>
      <c r="E41" s="356" t="s">
        <v>15</v>
      </c>
      <c r="F41" s="348" t="s">
        <v>18</v>
      </c>
      <c r="G41" s="122"/>
      <c r="H41" s="12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340"/>
      <c r="B42" s="357"/>
      <c r="C42" s="357"/>
      <c r="D42" s="357"/>
      <c r="E42" s="357"/>
      <c r="F42" s="349"/>
      <c r="G42" s="122"/>
      <c r="H42" s="12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175" t="s">
        <v>133</v>
      </c>
      <c r="B43" s="176">
        <f>Salarios!B13</f>
        <v>1</v>
      </c>
      <c r="C43" s="176">
        <f>Salarios!D13</f>
        <v>2</v>
      </c>
      <c r="D43" s="176">
        <f>Salarios!F13</f>
        <v>2</v>
      </c>
      <c r="E43" s="176">
        <f>Salarios!H13</f>
        <v>2</v>
      </c>
      <c r="F43" s="228">
        <f>Salarios!J13</f>
        <v>2</v>
      </c>
      <c r="G43" s="122"/>
      <c r="H43" s="12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175" t="s">
        <v>135</v>
      </c>
      <c r="B44" s="229">
        <f>Salarios!C13*12</f>
        <v>180000</v>
      </c>
      <c r="C44" s="229">
        <f>Salarios!E13*12</f>
        <v>190800</v>
      </c>
      <c r="D44" s="229">
        <f>Salarios!G13*12</f>
        <v>202248</v>
      </c>
      <c r="E44" s="229">
        <f>Salarios!I13*12</f>
        <v>214382.88</v>
      </c>
      <c r="F44" s="229">
        <f>Salarios!K13*12</f>
        <v>227245.85280000005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175" t="s">
        <v>138</v>
      </c>
      <c r="B45" s="229">
        <f t="shared" ref="B45:F45" si="46">B44*0.45</f>
        <v>81000</v>
      </c>
      <c r="C45" s="229">
        <f t="shared" si="46"/>
        <v>85860</v>
      </c>
      <c r="D45" s="229">
        <f t="shared" si="46"/>
        <v>91011.6</v>
      </c>
      <c r="E45" s="229">
        <f t="shared" si="46"/>
        <v>96472.296000000002</v>
      </c>
      <c r="F45" s="229">
        <f t="shared" si="46"/>
        <v>102260.63376000003</v>
      </c>
      <c r="G45" s="23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232" t="s">
        <v>139</v>
      </c>
      <c r="B46" s="235">
        <f t="shared" ref="B46:F46" si="47">B44+B45</f>
        <v>261000</v>
      </c>
      <c r="C46" s="235">
        <f t="shared" si="47"/>
        <v>276660</v>
      </c>
      <c r="D46" s="235">
        <f t="shared" si="47"/>
        <v>293259.59999999998</v>
      </c>
      <c r="E46" s="236">
        <f t="shared" si="47"/>
        <v>310855.17599999998</v>
      </c>
      <c r="F46" s="237">
        <f t="shared" si="47"/>
        <v>329506.48656000011</v>
      </c>
      <c r="G46" s="23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</row>
    <row r="47" spans="1:26" ht="39" customHeight="1" x14ac:dyDescent="0.35">
      <c r="A47" s="353" t="s">
        <v>141</v>
      </c>
      <c r="B47" s="354"/>
      <c r="C47" s="354"/>
      <c r="D47" s="354"/>
      <c r="E47" s="354"/>
      <c r="F47" s="354"/>
      <c r="G47" s="238"/>
      <c r="H47" s="5"/>
      <c r="I47" s="5"/>
      <c r="J47" s="5"/>
      <c r="K47" s="234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</row>
    <row r="48" spans="1:26" ht="39" customHeight="1" x14ac:dyDescent="0.35">
      <c r="A48" s="240"/>
      <c r="B48" s="240"/>
      <c r="C48" s="240"/>
      <c r="D48" s="240"/>
      <c r="E48" s="241"/>
      <c r="F48" s="240"/>
      <c r="G48" s="238"/>
      <c r="H48" s="5"/>
      <c r="I48" s="5"/>
      <c r="J48" s="5"/>
      <c r="K48" s="234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351" t="s">
        <v>143</v>
      </c>
      <c r="B49" s="352"/>
      <c r="C49" s="352"/>
      <c r="D49" s="352"/>
      <c r="E49" s="352"/>
      <c r="F49" s="343"/>
      <c r="G49" s="238"/>
      <c r="H49" s="5"/>
      <c r="I49" s="5"/>
      <c r="J49" s="5"/>
      <c r="K49" s="234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355" t="s">
        <v>129</v>
      </c>
      <c r="B50" s="356" t="s">
        <v>7</v>
      </c>
      <c r="C50" s="356" t="s">
        <v>10</v>
      </c>
      <c r="D50" s="356" t="s">
        <v>13</v>
      </c>
      <c r="E50" s="356" t="s">
        <v>15</v>
      </c>
      <c r="F50" s="348" t="s">
        <v>18</v>
      </c>
      <c r="G50" s="238"/>
      <c r="H50" s="5"/>
      <c r="I50" s="5"/>
      <c r="J50" s="5"/>
      <c r="K50" s="234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340"/>
      <c r="B51" s="357"/>
      <c r="C51" s="357"/>
      <c r="D51" s="357"/>
      <c r="E51" s="357"/>
      <c r="F51" s="349"/>
      <c r="G51" s="238"/>
      <c r="H51" s="5"/>
      <c r="I51" s="5"/>
      <c r="J51" s="5"/>
      <c r="K51" s="234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175" t="s">
        <v>133</v>
      </c>
      <c r="B52" s="176">
        <f>Salarios!B29</f>
        <v>0</v>
      </c>
      <c r="C52" s="176">
        <f>Salarios!D29</f>
        <v>3</v>
      </c>
      <c r="D52" s="176">
        <f>Salarios!F29</f>
        <v>4</v>
      </c>
      <c r="E52" s="176">
        <f>Salarios!H29</f>
        <v>4</v>
      </c>
      <c r="F52" s="228">
        <f>Salarios!J29</f>
        <v>4</v>
      </c>
      <c r="G52" s="238"/>
      <c r="H52" s="5"/>
      <c r="I52" s="5"/>
      <c r="J52" s="5"/>
      <c r="K52" s="234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175" t="s">
        <v>147</v>
      </c>
      <c r="B53" s="229">
        <f>Salarios!C29*12</f>
        <v>0</v>
      </c>
      <c r="C53" s="229">
        <f>Salarios!E29*12</f>
        <v>4563.12</v>
      </c>
      <c r="D53" s="229">
        <f>Salarios!G29*12</f>
        <v>4791.24</v>
      </c>
      <c r="E53" s="255">
        <f>Salarios!I29*12</f>
        <v>5030.76</v>
      </c>
      <c r="F53" s="256">
        <f>Salarios!K29*12</f>
        <v>5282.28</v>
      </c>
      <c r="G53" s="238"/>
      <c r="H53" s="5"/>
      <c r="I53" s="5"/>
      <c r="J53" s="5"/>
      <c r="K53" s="234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175" t="s">
        <v>149</v>
      </c>
      <c r="B54" s="229">
        <f t="shared" ref="B54:F54" si="48">B53*0.45</f>
        <v>0</v>
      </c>
      <c r="C54" s="229">
        <f t="shared" si="48"/>
        <v>2053.404</v>
      </c>
      <c r="D54" s="229">
        <f t="shared" si="48"/>
        <v>2156.058</v>
      </c>
      <c r="E54" s="229">
        <f t="shared" si="48"/>
        <v>2263.8420000000001</v>
      </c>
      <c r="F54" s="229">
        <f t="shared" si="48"/>
        <v>2377.0259999999998</v>
      </c>
      <c r="G54" s="23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258" t="s">
        <v>150</v>
      </c>
      <c r="B55" s="259">
        <f>+Salarios!C39*12</f>
        <v>43800</v>
      </c>
      <c r="C55" s="259">
        <f>+Salarios!E39*12</f>
        <v>46226.52</v>
      </c>
      <c r="D55" s="259">
        <f>+Salarios!G39*12</f>
        <v>48787.469207999988</v>
      </c>
      <c r="E55" s="102">
        <f>+Salarios!I39*12</f>
        <v>51490.295002123181</v>
      </c>
      <c r="F55" s="261">
        <f>+Salarios!K39*12</f>
        <v>54342.857345240787</v>
      </c>
      <c r="G55" s="23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232" t="s">
        <v>152</v>
      </c>
      <c r="B56" s="235">
        <f t="shared" ref="B56:F56" si="49">SUM(B53:B55)</f>
        <v>43800</v>
      </c>
      <c r="C56" s="235">
        <f t="shared" si="49"/>
        <v>52843.043999999994</v>
      </c>
      <c r="D56" s="235">
        <f t="shared" si="49"/>
        <v>55734.76720799999</v>
      </c>
      <c r="E56" s="236">
        <f t="shared" si="49"/>
        <v>58784.89700212318</v>
      </c>
      <c r="F56" s="237">
        <f t="shared" si="49"/>
        <v>62002.163345240784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</row>
    <row r="57" spans="1:26" ht="35.25" customHeight="1" x14ac:dyDescent="0.25">
      <c r="A57" s="350" t="s">
        <v>154</v>
      </c>
      <c r="B57" s="337"/>
      <c r="C57" s="337"/>
      <c r="D57" s="337"/>
      <c r="E57" s="337"/>
      <c r="F57" s="33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268"/>
      <c r="U57" s="268"/>
      <c r="V57" s="268"/>
      <c r="W57" s="268"/>
      <c r="X57" s="268"/>
      <c r="Y57" s="268"/>
      <c r="Z57" s="268"/>
    </row>
    <row r="58" spans="1:26" ht="17.25" customHeight="1" x14ac:dyDescent="0.35">
      <c r="A58" s="269"/>
      <c r="B58" s="269"/>
      <c r="C58" s="269"/>
      <c r="D58" s="269"/>
      <c r="E58" s="241"/>
      <c r="F58" s="26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269"/>
      <c r="B59" s="269"/>
      <c r="C59" s="269"/>
      <c r="D59" s="269"/>
      <c r="E59" s="241"/>
      <c r="F59" s="26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271" t="s">
        <v>156</v>
      </c>
      <c r="B60" s="272">
        <f t="shared" ref="B60:F60" si="50">B75</f>
        <v>16017.619999999999</v>
      </c>
      <c r="C60" s="272">
        <f t="shared" si="50"/>
        <v>23081.627466666669</v>
      </c>
      <c r="D60" s="272">
        <f t="shared" si="50"/>
        <v>26372.618266666668</v>
      </c>
      <c r="E60" s="273">
        <f t="shared" si="50"/>
        <v>30135.205933333335</v>
      </c>
      <c r="F60" s="274">
        <f t="shared" si="50"/>
        <v>34473.8508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</row>
    <row r="61" spans="1:26" ht="26.25" customHeight="1" x14ac:dyDescent="0.35">
      <c r="A61" s="276" t="s">
        <v>157</v>
      </c>
      <c r="B61" s="278">
        <f t="shared" ref="B61:F61" si="51">B56</f>
        <v>43800</v>
      </c>
      <c r="C61" s="278">
        <f t="shared" si="51"/>
        <v>52843.043999999994</v>
      </c>
      <c r="D61" s="278">
        <f t="shared" si="51"/>
        <v>55734.76720799999</v>
      </c>
      <c r="E61" s="156">
        <f t="shared" si="51"/>
        <v>58784.89700212318</v>
      </c>
      <c r="F61" s="279">
        <f t="shared" si="51"/>
        <v>62002.163345240784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10"/>
      <c r="B62" s="5"/>
      <c r="C62" s="5"/>
      <c r="D62" s="5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5"/>
      <c r="B63" s="5"/>
      <c r="C63" s="5"/>
      <c r="D63" s="5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351" t="s">
        <v>158</v>
      </c>
      <c r="B64" s="352"/>
      <c r="C64" s="352"/>
      <c r="D64" s="352"/>
      <c r="E64" s="352"/>
      <c r="F64" s="343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280" t="s">
        <v>159</v>
      </c>
      <c r="B65" s="26" t="s">
        <v>91</v>
      </c>
      <c r="C65" s="26" t="s">
        <v>110</v>
      </c>
      <c r="D65" s="26" t="s">
        <v>122</v>
      </c>
      <c r="E65" s="26" t="s">
        <v>128</v>
      </c>
      <c r="F65" s="30" t="s">
        <v>132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43"/>
      <c r="B66" s="282"/>
      <c r="C66" s="282"/>
      <c r="D66" s="282"/>
      <c r="E66" s="282"/>
      <c r="F66" s="28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284"/>
      <c r="B67" s="282"/>
      <c r="C67" s="46"/>
      <c r="D67" s="46"/>
      <c r="E67" s="46"/>
      <c r="F67" s="4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43" t="s">
        <v>161</v>
      </c>
      <c r="B68" s="45">
        <v>1500</v>
      </c>
      <c r="C68" s="45">
        <f>B68*F14+B68</f>
        <v>1500</v>
      </c>
      <c r="D68" s="45">
        <f>C68*F14+C68</f>
        <v>1500</v>
      </c>
      <c r="E68" s="45">
        <f>D68*F14+D68</f>
        <v>1500</v>
      </c>
      <c r="F68" s="45">
        <f>E68*F14+E68</f>
        <v>1500</v>
      </c>
      <c r="G68" s="29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43"/>
      <c r="B69" s="46"/>
      <c r="C69" s="46"/>
      <c r="D69" s="46"/>
      <c r="E69" s="46"/>
      <c r="F69" s="46"/>
      <c r="G69" s="16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43"/>
      <c r="B70" s="46"/>
      <c r="C70" s="46"/>
      <c r="D70" s="46"/>
      <c r="E70" s="46"/>
      <c r="F70" s="47"/>
      <c r="G70" s="16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3" t="s">
        <v>164</v>
      </c>
      <c r="B71" s="52">
        <f>EFINANCIEROS!C4*0.02</f>
        <v>4767.62</v>
      </c>
      <c r="C71" s="52">
        <f>EFINANCIEROS!D4*0.02</f>
        <v>9564.5792000000001</v>
      </c>
      <c r="D71" s="52">
        <f>EFINANCIEROS!E4*0.02</f>
        <v>11060.878400000001</v>
      </c>
      <c r="E71" s="52">
        <f>EFINANCIEROS!F4*0.02</f>
        <v>12747.8824</v>
      </c>
      <c r="F71" s="52">
        <f>EFINANCIEROS!G4*0.02</f>
        <v>14698.939199999999</v>
      </c>
      <c r="G71" s="5"/>
      <c r="H71" s="5"/>
      <c r="I71" s="5"/>
      <c r="J71" s="5"/>
      <c r="K71" s="298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3" t="s">
        <v>165</v>
      </c>
      <c r="B72" s="52">
        <v>9750</v>
      </c>
      <c r="C72" s="52">
        <v>11220</v>
      </c>
      <c r="D72" s="52">
        <v>12890</v>
      </c>
      <c r="E72" s="60">
        <v>14825</v>
      </c>
      <c r="F72" s="58">
        <v>17050</v>
      </c>
      <c r="G72" s="5"/>
      <c r="H72" s="5"/>
      <c r="I72" s="5"/>
      <c r="J72" s="5"/>
      <c r="K72" s="298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3" t="s">
        <v>166</v>
      </c>
      <c r="B73" s="299">
        <v>0</v>
      </c>
      <c r="C73" s="299">
        <f>(EFINANCIEROS!D4/12)*0.02</f>
        <v>797.04826666666679</v>
      </c>
      <c r="D73" s="299">
        <f>(EFINANCIEROS!E4/12)*0.02</f>
        <v>921.73986666666679</v>
      </c>
      <c r="E73" s="300">
        <f>(EFINANCIEROS!F4/12)*0.02</f>
        <v>1062.3235333333334</v>
      </c>
      <c r="F73" s="302">
        <f>(EFINANCIEROS!G4/12)*0.02</f>
        <v>1224.9115999999999</v>
      </c>
      <c r="G73" s="5"/>
      <c r="H73" s="5"/>
      <c r="I73" s="5"/>
      <c r="J73" s="5"/>
      <c r="K73" s="298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53" t="s">
        <v>158</v>
      </c>
      <c r="B74" s="52">
        <f t="shared" ref="B74:F74" si="52">SUM(B66:B73)</f>
        <v>16017.619999999999</v>
      </c>
      <c r="C74" s="52">
        <f t="shared" si="52"/>
        <v>23081.627466666669</v>
      </c>
      <c r="D74" s="52">
        <f t="shared" si="52"/>
        <v>26372.618266666668</v>
      </c>
      <c r="E74" s="60">
        <f t="shared" si="52"/>
        <v>30135.205933333335</v>
      </c>
      <c r="F74" s="58">
        <f t="shared" si="52"/>
        <v>34473.8508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306" t="s">
        <v>170</v>
      </c>
      <c r="B75" s="106">
        <f t="shared" ref="B75:F75" si="53">B74-B67</f>
        <v>16017.619999999999</v>
      </c>
      <c r="C75" s="106">
        <f t="shared" si="53"/>
        <v>23081.627466666669</v>
      </c>
      <c r="D75" s="106">
        <f t="shared" si="53"/>
        <v>26372.618266666668</v>
      </c>
      <c r="E75" s="106">
        <f t="shared" si="53"/>
        <v>30135.205933333335</v>
      </c>
      <c r="F75" s="308">
        <f t="shared" si="53"/>
        <v>34473.8508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298"/>
      <c r="B76" s="298"/>
      <c r="C76" s="5"/>
      <c r="D76" s="5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5"/>
      <c r="B77" s="5"/>
      <c r="C77" s="5"/>
      <c r="D77" s="5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5"/>
      <c r="B78" s="5"/>
      <c r="C78" s="5"/>
      <c r="D78" s="5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5"/>
      <c r="B79" s="5"/>
      <c r="C79" s="5"/>
      <c r="D79" s="5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5"/>
      <c r="B80" s="5"/>
      <c r="C80" s="5"/>
      <c r="D80" s="5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5"/>
      <c r="B81" s="5"/>
      <c r="C81" s="5"/>
      <c r="D81" s="5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5"/>
      <c r="B82" s="5"/>
      <c r="C82" s="5"/>
      <c r="D82" s="5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5"/>
      <c r="B83" s="5"/>
      <c r="C83" s="5"/>
      <c r="D83" s="5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5"/>
      <c r="B84" s="5"/>
      <c r="C84" s="5"/>
      <c r="D84" s="5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5"/>
      <c r="B85" s="5"/>
      <c r="C85" s="5"/>
      <c r="D85" s="5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5"/>
      <c r="B86" s="5"/>
      <c r="C86" s="5"/>
      <c r="D86" s="5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5"/>
      <c r="B87" s="5"/>
      <c r="C87" s="5"/>
      <c r="D87" s="5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5"/>
      <c r="B88" s="5"/>
      <c r="C88" s="5"/>
      <c r="D88" s="5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5"/>
      <c r="B89" s="5"/>
      <c r="C89" s="5"/>
      <c r="D89" s="5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5"/>
      <c r="B90" s="5"/>
      <c r="C90" s="5"/>
      <c r="D90" s="5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5"/>
      <c r="B91" s="5"/>
      <c r="C91" s="5"/>
      <c r="D91" s="5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5"/>
      <c r="B92" s="5"/>
      <c r="C92" s="5"/>
      <c r="D92" s="5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5"/>
      <c r="B93" s="5"/>
      <c r="C93" s="5"/>
      <c r="D93" s="5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5"/>
      <c r="B94" s="5"/>
      <c r="C94" s="5"/>
      <c r="D94" s="5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5"/>
      <c r="B95" s="5"/>
      <c r="C95" s="5"/>
      <c r="D95" s="5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5"/>
      <c r="B96" s="5"/>
      <c r="C96" s="5"/>
      <c r="D96" s="5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5"/>
      <c r="B97" s="5"/>
      <c r="C97" s="5"/>
      <c r="D97" s="5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5"/>
      <c r="B98" s="5"/>
      <c r="C98" s="5"/>
      <c r="D98" s="5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5"/>
      <c r="B99" s="5"/>
      <c r="C99" s="5"/>
      <c r="D99" s="5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5"/>
      <c r="B100" s="5"/>
      <c r="C100" s="5"/>
      <c r="D100" s="5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5"/>
      <c r="B101" s="5"/>
      <c r="C101" s="5"/>
      <c r="D101" s="5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5"/>
      <c r="B102" s="5"/>
      <c r="C102" s="5"/>
      <c r="D102" s="5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5"/>
      <c r="B103" s="5"/>
      <c r="C103" s="5"/>
      <c r="D103" s="5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8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8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8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6"/>
      <c r="U1000" s="6"/>
      <c r="V1000" s="6"/>
      <c r="W1000" s="6"/>
      <c r="X1000" s="6"/>
      <c r="Y1000" s="6"/>
      <c r="Z1000" s="6"/>
    </row>
  </sheetData>
  <mergeCells count="40">
    <mergeCell ref="A1:P1"/>
    <mergeCell ref="A3:P3"/>
    <mergeCell ref="B4:D4"/>
    <mergeCell ref="E4:G4"/>
    <mergeCell ref="H4:J4"/>
    <mergeCell ref="K4:M4"/>
    <mergeCell ref="N4:P4"/>
    <mergeCell ref="A17:M17"/>
    <mergeCell ref="D18:E18"/>
    <mergeCell ref="F18:G18"/>
    <mergeCell ref="H18:I18"/>
    <mergeCell ref="J18:K18"/>
    <mergeCell ref="L18:M18"/>
    <mergeCell ref="N18:O18"/>
    <mergeCell ref="K28:M28"/>
    <mergeCell ref="N28:P28"/>
    <mergeCell ref="B18:C18"/>
    <mergeCell ref="A25:B25"/>
    <mergeCell ref="D25:G25"/>
    <mergeCell ref="A27:P27"/>
    <mergeCell ref="B28:D28"/>
    <mergeCell ref="E28:G28"/>
    <mergeCell ref="H28:J28"/>
    <mergeCell ref="A40:F40"/>
    <mergeCell ref="A41:A42"/>
    <mergeCell ref="B41:B42"/>
    <mergeCell ref="C41:C42"/>
    <mergeCell ref="D41:D42"/>
    <mergeCell ref="E41:E42"/>
    <mergeCell ref="F41:F42"/>
    <mergeCell ref="F50:F51"/>
    <mergeCell ref="A57:F57"/>
    <mergeCell ref="A64:F64"/>
    <mergeCell ref="A47:F47"/>
    <mergeCell ref="A49:F49"/>
    <mergeCell ref="A50:A51"/>
    <mergeCell ref="B50:B51"/>
    <mergeCell ref="C50:C51"/>
    <mergeCell ref="D50:D51"/>
    <mergeCell ref="E50:E5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>
      <selection activeCell="C6" sqref="C6"/>
    </sheetView>
  </sheetViews>
  <sheetFormatPr baseColWidth="10" defaultColWidth="12.6328125" defaultRowHeight="15" customHeight="1" x14ac:dyDescent="0.25"/>
  <cols>
    <col min="1" max="1" width="34.26953125" bestFit="1" customWidth="1"/>
    <col min="2" max="2" width="17.6328125" customWidth="1"/>
    <col min="3" max="3" width="17.7265625" customWidth="1"/>
    <col min="4" max="4" width="17" customWidth="1"/>
    <col min="5" max="5" width="14.08984375" customWidth="1"/>
    <col min="6" max="6" width="9.90625" customWidth="1"/>
    <col min="7" max="9" width="15.7265625" customWidth="1"/>
    <col min="10" max="10" width="16.08984375" customWidth="1"/>
    <col min="11" max="11" width="11.90625" customWidth="1"/>
    <col min="12" max="12" width="13.6328125" customWidth="1"/>
    <col min="13" max="13" width="9.08984375" customWidth="1"/>
    <col min="14" max="14" width="16.36328125" customWidth="1"/>
    <col min="15" max="15" width="13.90625" customWidth="1"/>
    <col min="16" max="26" width="10" customWidth="1"/>
  </cols>
  <sheetData>
    <row r="1" spans="1:26" ht="13.5" customHeight="1" x14ac:dyDescent="0.3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9"/>
      <c r="O1" s="9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customHeight="1" x14ac:dyDescent="0.25">
      <c r="A2" s="372" t="s">
        <v>3</v>
      </c>
      <c r="B2" s="13" t="s">
        <v>5</v>
      </c>
      <c r="C2" s="374" t="s">
        <v>6</v>
      </c>
      <c r="D2" s="343"/>
      <c r="E2" s="9"/>
      <c r="F2" s="375" t="s">
        <v>8</v>
      </c>
      <c r="G2" s="352"/>
      <c r="H2" s="352"/>
      <c r="I2" s="352"/>
      <c r="J2" s="343"/>
      <c r="K2" s="5"/>
      <c r="L2" s="5"/>
      <c r="M2" s="5"/>
      <c r="N2" s="375" t="s">
        <v>12</v>
      </c>
      <c r="O2" s="343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373"/>
      <c r="B3" s="18" t="s">
        <v>20</v>
      </c>
      <c r="C3" s="18" t="s">
        <v>21</v>
      </c>
      <c r="D3" s="21" t="s">
        <v>22</v>
      </c>
      <c r="E3" s="9"/>
      <c r="F3" s="23" t="s">
        <v>24</v>
      </c>
      <c r="G3" s="18" t="s">
        <v>27</v>
      </c>
      <c r="H3" s="18" t="s">
        <v>29</v>
      </c>
      <c r="I3" s="18" t="s">
        <v>31</v>
      </c>
      <c r="J3" s="21" t="s">
        <v>32</v>
      </c>
      <c r="K3" s="5"/>
      <c r="L3" s="5"/>
      <c r="M3" s="5"/>
      <c r="N3" s="28" t="s">
        <v>20</v>
      </c>
      <c r="O3" s="29">
        <f>+J4</f>
        <v>0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31" t="s">
        <v>209</v>
      </c>
      <c r="B4" s="33">
        <f>SUM(B5:B6)</f>
        <v>13979.74</v>
      </c>
      <c r="C4" s="33">
        <f>+SUM(C5:C6)</f>
        <v>13979.74</v>
      </c>
      <c r="D4" s="36"/>
      <c r="E4" s="19"/>
      <c r="F4" s="38">
        <v>0</v>
      </c>
      <c r="G4" s="39"/>
      <c r="H4" s="39"/>
      <c r="I4" s="39"/>
      <c r="J4" s="40">
        <f>B26</f>
        <v>0</v>
      </c>
      <c r="K4" s="5"/>
      <c r="L4" s="5"/>
      <c r="M4" s="19"/>
      <c r="N4" s="28" t="s">
        <v>50</v>
      </c>
      <c r="O4" s="42">
        <v>0.15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3">
      <c r="A5" s="43" t="s">
        <v>207</v>
      </c>
      <c r="B5" s="45">
        <v>550.38</v>
      </c>
      <c r="C5" s="46">
        <v>550.38</v>
      </c>
      <c r="D5" s="47"/>
      <c r="E5" s="5"/>
      <c r="F5" s="371" t="s">
        <v>7</v>
      </c>
      <c r="G5" s="360"/>
      <c r="H5" s="360"/>
      <c r="I5" s="360"/>
      <c r="J5" s="362"/>
      <c r="K5" s="5"/>
      <c r="L5" s="5"/>
      <c r="M5" s="5"/>
      <c r="N5" s="28" t="s">
        <v>62</v>
      </c>
      <c r="O5" s="50">
        <v>36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" x14ac:dyDescent="0.25">
      <c r="A6" s="43" t="s">
        <v>210</v>
      </c>
      <c r="B6" s="46">
        <v>13429.36</v>
      </c>
      <c r="C6" s="46">
        <v>13429.36</v>
      </c>
      <c r="D6" s="47"/>
      <c r="E6" s="5"/>
      <c r="F6" s="51">
        <v>1</v>
      </c>
      <c r="G6" s="52">
        <f t="shared" ref="G6:G17" si="0">$B$29*-1</f>
        <v>0</v>
      </c>
      <c r="H6" s="52">
        <f>J4*($B$27/12)</f>
        <v>0</v>
      </c>
      <c r="I6" s="52">
        <f t="shared" ref="I6:I17" si="1">G6-H6</f>
        <v>0</v>
      </c>
      <c r="J6" s="58">
        <f>J4-I6</f>
        <v>0</v>
      </c>
      <c r="K6" s="5"/>
      <c r="L6" s="5"/>
      <c r="M6" s="5"/>
      <c r="N6" s="28" t="s">
        <v>27</v>
      </c>
      <c r="O6" s="59">
        <v>-174.2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 x14ac:dyDescent="0.25">
      <c r="A7" s="43"/>
      <c r="B7" s="46"/>
      <c r="C7" s="46" t="s">
        <v>70</v>
      </c>
      <c r="D7" s="47"/>
      <c r="E7" s="5"/>
      <c r="F7" s="51">
        <v>2</v>
      </c>
      <c r="G7" s="52">
        <f t="shared" si="0"/>
        <v>0</v>
      </c>
      <c r="H7" s="52">
        <f t="shared" ref="H7:H11" si="2">J6*($B$27/12)</f>
        <v>0</v>
      </c>
      <c r="I7" s="52">
        <f t="shared" si="1"/>
        <v>0</v>
      </c>
      <c r="J7" s="58">
        <f t="shared" ref="J7:J17" si="3">J6-I7</f>
        <v>0</v>
      </c>
      <c r="K7" s="5"/>
      <c r="L7" s="5"/>
      <c r="M7" s="5"/>
      <c r="N7" s="28" t="s">
        <v>75</v>
      </c>
      <c r="O7" s="42">
        <v>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5" customHeight="1" x14ac:dyDescent="0.3">
      <c r="A8" s="63" t="s">
        <v>208</v>
      </c>
      <c r="B8" s="64">
        <f>SUM(B9:B10)</f>
        <v>29353.79</v>
      </c>
      <c r="C8" s="64">
        <f>+SUM(C9:C10)</f>
        <v>29353.79</v>
      </c>
      <c r="D8" s="66">
        <f>+SUM(D9:D11)</f>
        <v>0</v>
      </c>
      <c r="E8" s="5"/>
      <c r="F8" s="51">
        <v>3</v>
      </c>
      <c r="G8" s="52">
        <f t="shared" si="0"/>
        <v>0</v>
      </c>
      <c r="H8" s="52">
        <f t="shared" si="2"/>
        <v>0</v>
      </c>
      <c r="I8" s="52">
        <f t="shared" si="1"/>
        <v>0</v>
      </c>
      <c r="J8" s="58">
        <f t="shared" si="3"/>
        <v>0</v>
      </c>
      <c r="K8" s="5"/>
      <c r="L8" s="5"/>
      <c r="M8" s="5"/>
      <c r="N8" s="71" t="s">
        <v>86</v>
      </c>
      <c r="O8" s="72">
        <v>174.2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 x14ac:dyDescent="0.25">
      <c r="A9" s="74" t="s">
        <v>205</v>
      </c>
      <c r="B9" s="76">
        <v>18346.12</v>
      </c>
      <c r="C9" s="46">
        <f>B9</f>
        <v>18346.12</v>
      </c>
      <c r="D9" s="47"/>
      <c r="E9" s="5"/>
      <c r="F9" s="51">
        <v>4</v>
      </c>
      <c r="G9" s="52">
        <f t="shared" si="0"/>
        <v>0</v>
      </c>
      <c r="H9" s="52">
        <f t="shared" si="2"/>
        <v>0</v>
      </c>
      <c r="I9" s="52">
        <f t="shared" si="1"/>
        <v>0</v>
      </c>
      <c r="J9" s="58">
        <f t="shared" si="3"/>
        <v>0</v>
      </c>
      <c r="K9" s="5"/>
      <c r="L9" s="5"/>
      <c r="M9" s="5"/>
      <c r="N9" s="9"/>
      <c r="O9" s="9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" x14ac:dyDescent="0.25">
      <c r="A10" s="81" t="s">
        <v>206</v>
      </c>
      <c r="B10" s="76">
        <v>11007.67</v>
      </c>
      <c r="C10" s="76">
        <v>11007.67</v>
      </c>
      <c r="D10" s="82"/>
      <c r="E10" s="5"/>
      <c r="F10" s="51">
        <v>5</v>
      </c>
      <c r="G10" s="52">
        <f t="shared" si="0"/>
        <v>0</v>
      </c>
      <c r="H10" s="52">
        <f t="shared" si="2"/>
        <v>0</v>
      </c>
      <c r="I10" s="52">
        <f t="shared" si="1"/>
        <v>0</v>
      </c>
      <c r="J10" s="58">
        <f t="shared" si="3"/>
        <v>0</v>
      </c>
      <c r="K10" s="5"/>
      <c r="L10" s="5"/>
      <c r="M10" s="5"/>
      <c r="N10" s="9"/>
      <c r="O10" s="9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9.25" customHeight="1" x14ac:dyDescent="0.3">
      <c r="A11" s="85"/>
      <c r="B11" s="76"/>
      <c r="C11" s="82"/>
      <c r="D11" s="86"/>
      <c r="E11" s="5"/>
      <c r="F11" s="51">
        <v>6</v>
      </c>
      <c r="G11" s="52">
        <f t="shared" si="0"/>
        <v>0</v>
      </c>
      <c r="H11" s="52">
        <f t="shared" si="2"/>
        <v>0</v>
      </c>
      <c r="I11" s="52">
        <f t="shared" si="1"/>
        <v>0</v>
      </c>
      <c r="J11" s="58">
        <f t="shared" si="3"/>
        <v>0</v>
      </c>
      <c r="K11" s="5"/>
      <c r="L11" s="5"/>
      <c r="M11" s="5"/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88"/>
      <c r="B12" s="52"/>
      <c r="C12" s="46"/>
      <c r="D12" s="47"/>
      <c r="E12" s="5"/>
      <c r="F12" s="51">
        <v>7</v>
      </c>
      <c r="G12" s="52">
        <f t="shared" si="0"/>
        <v>0</v>
      </c>
      <c r="H12" s="52">
        <f>J10*($B$27/12)</f>
        <v>0</v>
      </c>
      <c r="I12" s="52">
        <f t="shared" si="1"/>
        <v>0</v>
      </c>
      <c r="J12" s="58">
        <f t="shared" si="3"/>
        <v>0</v>
      </c>
      <c r="K12" s="5"/>
      <c r="L12" s="5"/>
      <c r="M12" s="5"/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63" t="s">
        <v>88</v>
      </c>
      <c r="B13" s="64">
        <f>B14</f>
        <v>66484.739166666666</v>
      </c>
      <c r="C13" s="64">
        <f t="shared" ref="C13:C14" si="4">+B13</f>
        <v>66484.739166666666</v>
      </c>
      <c r="D13" s="92"/>
      <c r="E13" s="5"/>
      <c r="F13" s="51">
        <v>8</v>
      </c>
      <c r="G13" s="52">
        <f t="shared" si="0"/>
        <v>0</v>
      </c>
      <c r="H13" s="52">
        <f t="shared" ref="H13:H17" si="5">J12*($B$27/12)</f>
        <v>0</v>
      </c>
      <c r="I13" s="52">
        <f t="shared" si="1"/>
        <v>0</v>
      </c>
      <c r="J13" s="58">
        <f t="shared" si="3"/>
        <v>0</v>
      </c>
      <c r="K13" s="5"/>
      <c r="L13" s="5"/>
      <c r="M13" s="5"/>
      <c r="N13" s="9"/>
      <c r="O13" s="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25">
      <c r="A14" s="53" t="s">
        <v>89</v>
      </c>
      <c r="B14" s="52">
        <f>+(EFINANCIEROS!C5+EFINANCIEROS!C7+EFINANCIEROS!C8)/12</f>
        <v>66484.739166666666</v>
      </c>
      <c r="C14" s="46">
        <f t="shared" si="4"/>
        <v>66484.739166666666</v>
      </c>
      <c r="D14" s="96"/>
      <c r="E14" s="5"/>
      <c r="F14" s="51">
        <v>9</v>
      </c>
      <c r="G14" s="52">
        <f t="shared" si="0"/>
        <v>0</v>
      </c>
      <c r="H14" s="52">
        <f t="shared" si="5"/>
        <v>0</v>
      </c>
      <c r="I14" s="52">
        <f t="shared" si="1"/>
        <v>0</v>
      </c>
      <c r="J14" s="58">
        <f t="shared" si="3"/>
        <v>0</v>
      </c>
      <c r="K14" s="5"/>
      <c r="L14" s="5"/>
      <c r="M14" s="5"/>
      <c r="N14" s="9"/>
      <c r="O14" s="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99"/>
      <c r="B15" s="101"/>
      <c r="C15" s="101"/>
      <c r="D15" s="103"/>
      <c r="E15" s="5"/>
      <c r="F15" s="51">
        <v>10</v>
      </c>
      <c r="G15" s="52">
        <f t="shared" si="0"/>
        <v>0</v>
      </c>
      <c r="H15" s="52">
        <f t="shared" si="5"/>
        <v>0</v>
      </c>
      <c r="I15" s="52">
        <f t="shared" si="1"/>
        <v>0</v>
      </c>
      <c r="J15" s="58">
        <f t="shared" si="3"/>
        <v>0</v>
      </c>
      <c r="K15" s="351" t="s">
        <v>91</v>
      </c>
      <c r="L15" s="343"/>
      <c r="M15" s="5"/>
      <c r="N15" s="9"/>
      <c r="O15" s="9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3" t="s">
        <v>92</v>
      </c>
      <c r="B16" s="64">
        <f>B17</f>
        <v>1500</v>
      </c>
      <c r="C16" s="64">
        <f t="shared" ref="C16:C17" si="6">+B16</f>
        <v>1500</v>
      </c>
      <c r="D16" s="66"/>
      <c r="E16" s="5"/>
      <c r="F16" s="51">
        <v>11</v>
      </c>
      <c r="G16" s="52">
        <f t="shared" si="0"/>
        <v>0</v>
      </c>
      <c r="H16" s="52">
        <f t="shared" si="5"/>
        <v>0</v>
      </c>
      <c r="I16" s="52">
        <f t="shared" si="1"/>
        <v>0</v>
      </c>
      <c r="J16" s="58">
        <f t="shared" si="3"/>
        <v>0</v>
      </c>
      <c r="K16" s="111" t="s">
        <v>29</v>
      </c>
      <c r="L16" s="112" t="s">
        <v>31</v>
      </c>
      <c r="M16" s="5"/>
      <c r="N16" s="9"/>
      <c r="O16" s="9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25">
      <c r="A17" s="43" t="s">
        <v>92</v>
      </c>
      <c r="B17" s="46">
        <v>1500</v>
      </c>
      <c r="C17" s="46">
        <f t="shared" si="6"/>
        <v>1500</v>
      </c>
      <c r="D17" s="47"/>
      <c r="E17" s="5"/>
      <c r="F17" s="51">
        <v>12</v>
      </c>
      <c r="G17" s="52">
        <f t="shared" si="0"/>
        <v>0</v>
      </c>
      <c r="H17" s="52">
        <f t="shared" si="5"/>
        <v>0</v>
      </c>
      <c r="I17" s="52">
        <f t="shared" si="1"/>
        <v>0</v>
      </c>
      <c r="J17" s="58">
        <f t="shared" si="3"/>
        <v>0</v>
      </c>
      <c r="K17" s="117">
        <f t="shared" ref="K17:L17" si="7">SUM(H6:H17)</f>
        <v>0</v>
      </c>
      <c r="L17" s="118">
        <f t="shared" si="7"/>
        <v>0</v>
      </c>
      <c r="M17" s="5"/>
      <c r="N17" s="9"/>
      <c r="O17" s="9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53"/>
      <c r="B18" s="52"/>
      <c r="C18" s="52"/>
      <c r="D18" s="58"/>
      <c r="E18" s="5"/>
      <c r="F18" s="371" t="s">
        <v>10</v>
      </c>
      <c r="G18" s="360"/>
      <c r="H18" s="360"/>
      <c r="I18" s="360"/>
      <c r="J18" s="362"/>
      <c r="K18" s="5"/>
      <c r="L18" s="5"/>
      <c r="M18" s="5"/>
      <c r="N18" s="9"/>
      <c r="O18" s="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88" t="s">
        <v>96</v>
      </c>
      <c r="B19" s="64">
        <f>B16+B8+B13+B4</f>
        <v>111318.26916666668</v>
      </c>
      <c r="C19" s="64">
        <f>C16+C13+C4+C8</f>
        <v>111318.26916666667</v>
      </c>
      <c r="D19" s="66">
        <f>D8+D4</f>
        <v>0</v>
      </c>
      <c r="E19" s="5"/>
      <c r="F19" s="51">
        <v>13</v>
      </c>
      <c r="G19" s="52">
        <f t="shared" ref="G19:G30" si="8">$B$29*-1</f>
        <v>0</v>
      </c>
      <c r="H19" s="52">
        <f>J17*($B$27/12)</f>
        <v>0</v>
      </c>
      <c r="I19" s="52">
        <f t="shared" ref="I19:I30" si="9">G19-H19</f>
        <v>0</v>
      </c>
      <c r="J19" s="58">
        <f>J17-I19</f>
        <v>0</v>
      </c>
      <c r="K19" s="5"/>
      <c r="L19" s="5"/>
      <c r="M19" s="5"/>
      <c r="N19" s="9"/>
      <c r="O19" s="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3"/>
      <c r="B20" s="132" t="s">
        <v>36</v>
      </c>
      <c r="C20" s="132" t="s">
        <v>100</v>
      </c>
      <c r="D20" s="133" t="s">
        <v>6</v>
      </c>
      <c r="E20" s="5"/>
      <c r="F20" s="51">
        <v>14</v>
      </c>
      <c r="G20" s="52">
        <f t="shared" si="8"/>
        <v>0</v>
      </c>
      <c r="H20" s="52">
        <f t="shared" ref="H20:H30" si="10">J19*($B$27/12)</f>
        <v>0</v>
      </c>
      <c r="I20" s="52">
        <f t="shared" si="9"/>
        <v>0</v>
      </c>
      <c r="J20" s="58">
        <f t="shared" ref="J20:J30" si="11">J19-I20</f>
        <v>0</v>
      </c>
      <c r="K20" s="5"/>
      <c r="L20" s="5"/>
      <c r="M20" s="5"/>
      <c r="N20" s="9"/>
      <c r="O20" s="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135"/>
      <c r="B21" s="136">
        <f>SUM(C21:D21)</f>
        <v>0.99999999999999989</v>
      </c>
      <c r="C21" s="136">
        <f>+(C19/B19)</f>
        <v>0.99999999999999989</v>
      </c>
      <c r="D21" s="139">
        <f>+(D19/B19)</f>
        <v>0</v>
      </c>
      <c r="E21" s="5"/>
      <c r="F21" s="51">
        <v>15</v>
      </c>
      <c r="G21" s="52">
        <f t="shared" si="8"/>
        <v>0</v>
      </c>
      <c r="H21" s="52">
        <f t="shared" si="10"/>
        <v>0</v>
      </c>
      <c r="I21" s="52">
        <f t="shared" si="9"/>
        <v>0</v>
      </c>
      <c r="J21" s="58">
        <f t="shared" si="11"/>
        <v>0</v>
      </c>
      <c r="K21" s="119"/>
      <c r="L21" s="119"/>
      <c r="M21" s="5"/>
      <c r="N21" s="9"/>
      <c r="O21" s="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1"/>
      <c r="B22" s="5"/>
      <c r="C22" s="5"/>
      <c r="D22" s="5"/>
      <c r="E22" s="5"/>
      <c r="F22" s="51">
        <v>16</v>
      </c>
      <c r="G22" s="52">
        <f t="shared" si="8"/>
        <v>0</v>
      </c>
      <c r="H22" s="52">
        <f t="shared" si="10"/>
        <v>0</v>
      </c>
      <c r="I22" s="52">
        <f t="shared" si="9"/>
        <v>0</v>
      </c>
      <c r="J22" s="58">
        <f t="shared" si="11"/>
        <v>0</v>
      </c>
      <c r="K22" s="8"/>
      <c r="L22" s="8"/>
      <c r="M22" s="5"/>
      <c r="N22" s="9"/>
      <c r="O22" s="9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1"/>
      <c r="B23" s="5"/>
      <c r="C23" s="5"/>
      <c r="D23" s="5"/>
      <c r="E23" s="5"/>
      <c r="F23" s="51">
        <v>17</v>
      </c>
      <c r="G23" s="52">
        <f t="shared" si="8"/>
        <v>0</v>
      </c>
      <c r="H23" s="52">
        <f t="shared" si="10"/>
        <v>0</v>
      </c>
      <c r="I23" s="52">
        <f t="shared" si="9"/>
        <v>0</v>
      </c>
      <c r="J23" s="58">
        <f t="shared" si="11"/>
        <v>0</v>
      </c>
      <c r="K23" s="8"/>
      <c r="L23" s="8"/>
      <c r="M23" s="5"/>
      <c r="N23" s="9"/>
      <c r="O23" s="9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"/>
      <c r="B24" s="5"/>
      <c r="C24" s="5"/>
      <c r="D24" s="5"/>
      <c r="E24" s="5"/>
      <c r="F24" s="51">
        <v>18</v>
      </c>
      <c r="G24" s="52">
        <f t="shared" si="8"/>
        <v>0</v>
      </c>
      <c r="H24" s="52">
        <f t="shared" si="10"/>
        <v>0</v>
      </c>
      <c r="I24" s="52">
        <f t="shared" si="9"/>
        <v>0</v>
      </c>
      <c r="J24" s="58">
        <f t="shared" si="11"/>
        <v>0</v>
      </c>
      <c r="K24" s="8"/>
      <c r="L24" s="8"/>
      <c r="M24" s="5"/>
      <c r="N24" s="9"/>
      <c r="O24" s="9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351" t="s">
        <v>12</v>
      </c>
      <c r="B25" s="343"/>
      <c r="C25" s="5"/>
      <c r="D25" s="5"/>
      <c r="E25" s="5"/>
      <c r="F25" s="51">
        <v>19</v>
      </c>
      <c r="G25" s="52">
        <f t="shared" si="8"/>
        <v>0</v>
      </c>
      <c r="H25" s="52">
        <f t="shared" si="10"/>
        <v>0</v>
      </c>
      <c r="I25" s="52">
        <f t="shared" si="9"/>
        <v>0</v>
      </c>
      <c r="J25" s="58">
        <f t="shared" si="11"/>
        <v>0</v>
      </c>
      <c r="K25" s="8"/>
      <c r="L25" s="8"/>
      <c r="M25" s="5"/>
      <c r="N25" s="9"/>
      <c r="O25" s="9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63" t="s">
        <v>20</v>
      </c>
      <c r="B26" s="152">
        <f>D19</f>
        <v>0</v>
      </c>
      <c r="C26" s="5"/>
      <c r="D26" s="5"/>
      <c r="E26" s="5"/>
      <c r="F26" s="51">
        <v>20</v>
      </c>
      <c r="G26" s="52">
        <f t="shared" si="8"/>
        <v>0</v>
      </c>
      <c r="H26" s="52">
        <f t="shared" si="10"/>
        <v>0</v>
      </c>
      <c r="I26" s="52">
        <f t="shared" si="9"/>
        <v>0</v>
      </c>
      <c r="J26" s="58">
        <f t="shared" si="11"/>
        <v>0</v>
      </c>
      <c r="K26" s="8"/>
      <c r="L26" s="8"/>
      <c r="M26" s="5"/>
      <c r="N26" s="9"/>
      <c r="O26" s="9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63" t="s">
        <v>50</v>
      </c>
      <c r="B27" s="155">
        <v>9.3799999999999994E-2</v>
      </c>
      <c r="C27" s="5"/>
      <c r="D27" s="5"/>
      <c r="E27" s="5"/>
      <c r="F27" s="51">
        <v>21</v>
      </c>
      <c r="G27" s="52">
        <f t="shared" si="8"/>
        <v>0</v>
      </c>
      <c r="H27" s="52">
        <f t="shared" si="10"/>
        <v>0</v>
      </c>
      <c r="I27" s="52">
        <f t="shared" si="9"/>
        <v>0</v>
      </c>
      <c r="J27" s="58">
        <f t="shared" si="11"/>
        <v>0</v>
      </c>
      <c r="K27" s="8"/>
      <c r="L27" s="8"/>
      <c r="M27" s="5"/>
      <c r="N27" s="9"/>
      <c r="O27" s="9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63" t="s">
        <v>62</v>
      </c>
      <c r="B28" s="158">
        <v>48</v>
      </c>
      <c r="C28" s="5"/>
      <c r="D28" s="5"/>
      <c r="E28" s="5"/>
      <c r="F28" s="51">
        <v>22</v>
      </c>
      <c r="G28" s="52">
        <f t="shared" si="8"/>
        <v>0</v>
      </c>
      <c r="H28" s="52">
        <f t="shared" si="10"/>
        <v>0</v>
      </c>
      <c r="I28" s="52">
        <f t="shared" si="9"/>
        <v>0</v>
      </c>
      <c r="J28" s="58">
        <f t="shared" si="11"/>
        <v>0</v>
      </c>
      <c r="K28" s="351" t="s">
        <v>110</v>
      </c>
      <c r="L28" s="343"/>
      <c r="M28" s="5"/>
      <c r="N28" s="9"/>
      <c r="O28" s="9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63" t="s">
        <v>27</v>
      </c>
      <c r="B29" s="163">
        <f>PMT((B27/12),B28,B26)</f>
        <v>0</v>
      </c>
      <c r="C29" s="164"/>
      <c r="D29" s="5"/>
      <c r="E29" s="5"/>
      <c r="F29" s="51">
        <v>23</v>
      </c>
      <c r="G29" s="52">
        <f t="shared" si="8"/>
        <v>0</v>
      </c>
      <c r="H29" s="52">
        <f t="shared" si="10"/>
        <v>0</v>
      </c>
      <c r="I29" s="52">
        <f t="shared" si="9"/>
        <v>0</v>
      </c>
      <c r="J29" s="58">
        <f t="shared" si="11"/>
        <v>0</v>
      </c>
      <c r="K29" s="111" t="s">
        <v>29</v>
      </c>
      <c r="L29" s="112" t="s">
        <v>31</v>
      </c>
      <c r="M29" s="5"/>
      <c r="N29" s="9"/>
      <c r="O29" s="9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63" t="s">
        <v>75</v>
      </c>
      <c r="B30" s="155">
        <v>0</v>
      </c>
      <c r="C30" s="164"/>
      <c r="D30" s="166"/>
      <c r="E30" s="5"/>
      <c r="F30" s="51">
        <v>24</v>
      </c>
      <c r="G30" s="52">
        <f t="shared" si="8"/>
        <v>0</v>
      </c>
      <c r="H30" s="52">
        <f t="shared" si="10"/>
        <v>0</v>
      </c>
      <c r="I30" s="52">
        <f t="shared" si="9"/>
        <v>0</v>
      </c>
      <c r="J30" s="58">
        <f t="shared" si="11"/>
        <v>0</v>
      </c>
      <c r="K30" s="117">
        <f t="shared" ref="K30:L30" si="12">SUM(H19:H30)</f>
        <v>0</v>
      </c>
      <c r="L30" s="118">
        <f t="shared" si="12"/>
        <v>0</v>
      </c>
      <c r="M30" s="5"/>
      <c r="N30" s="9"/>
      <c r="O30" s="9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04" t="s">
        <v>86</v>
      </c>
      <c r="B31" s="168">
        <f>(B29*-1)*(1+B30)</f>
        <v>0</v>
      </c>
      <c r="C31" s="19"/>
      <c r="D31" s="19"/>
      <c r="E31" s="166"/>
      <c r="F31" s="371" t="s">
        <v>13</v>
      </c>
      <c r="G31" s="360"/>
      <c r="H31" s="360"/>
      <c r="I31" s="360"/>
      <c r="J31" s="362"/>
      <c r="K31" s="5"/>
      <c r="L31" s="5"/>
      <c r="M31" s="5"/>
      <c r="N31" s="9"/>
      <c r="O31" s="9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1"/>
      <c r="B32" s="5"/>
      <c r="C32" s="19"/>
      <c r="D32" s="19"/>
      <c r="E32" s="19"/>
      <c r="F32" s="51">
        <v>25</v>
      </c>
      <c r="G32" s="52">
        <f t="shared" ref="G32:G43" si="13">$B$29*-1</f>
        <v>0</v>
      </c>
      <c r="H32" s="52">
        <f>J30*($B$27/12)</f>
        <v>0</v>
      </c>
      <c r="I32" s="52">
        <f t="shared" ref="I32:I43" si="14">G32-H32</f>
        <v>0</v>
      </c>
      <c r="J32" s="58">
        <f>J30-I32</f>
        <v>0</v>
      </c>
      <c r="K32" s="5"/>
      <c r="L32" s="5"/>
      <c r="M32" s="5"/>
      <c r="N32" s="9"/>
      <c r="O32" s="9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1"/>
      <c r="B33" s="5"/>
      <c r="C33" s="171"/>
      <c r="D33" s="171"/>
      <c r="E33" s="19"/>
      <c r="F33" s="51">
        <v>26</v>
      </c>
      <c r="G33" s="52">
        <f t="shared" si="13"/>
        <v>0</v>
      </c>
      <c r="H33" s="52">
        <f t="shared" ref="H33:H43" si="15">J32*($B$27/12)</f>
        <v>0</v>
      </c>
      <c r="I33" s="52">
        <f t="shared" si="14"/>
        <v>0</v>
      </c>
      <c r="J33" s="58">
        <f t="shared" ref="J33:J43" si="16">J32-I33</f>
        <v>0</v>
      </c>
      <c r="K33" s="5"/>
      <c r="L33" s="5"/>
      <c r="M33" s="5"/>
      <c r="N33" s="9"/>
      <c r="O33" s="9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1"/>
      <c r="B34" s="5"/>
      <c r="C34" s="5"/>
      <c r="D34" s="5"/>
      <c r="E34" s="171"/>
      <c r="F34" s="51">
        <v>27</v>
      </c>
      <c r="G34" s="52">
        <f t="shared" si="13"/>
        <v>0</v>
      </c>
      <c r="H34" s="52">
        <f t="shared" si="15"/>
        <v>0</v>
      </c>
      <c r="I34" s="52">
        <f t="shared" si="14"/>
        <v>0</v>
      </c>
      <c r="J34" s="58">
        <f t="shared" si="16"/>
        <v>0</v>
      </c>
      <c r="K34" s="119"/>
      <c r="L34" s="119"/>
      <c r="M34" s="5"/>
      <c r="N34" s="9"/>
      <c r="O34" s="9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1"/>
      <c r="B35" s="5"/>
      <c r="C35" s="5"/>
      <c r="D35" s="5"/>
      <c r="E35" s="5"/>
      <c r="F35" s="51">
        <v>28</v>
      </c>
      <c r="G35" s="52">
        <f t="shared" si="13"/>
        <v>0</v>
      </c>
      <c r="H35" s="52">
        <f t="shared" si="15"/>
        <v>0</v>
      </c>
      <c r="I35" s="52">
        <f t="shared" si="14"/>
        <v>0</v>
      </c>
      <c r="J35" s="58">
        <f t="shared" si="16"/>
        <v>0</v>
      </c>
      <c r="K35" s="8"/>
      <c r="L35" s="8"/>
      <c r="M35" s="5"/>
      <c r="N35" s="9"/>
      <c r="O35" s="9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5"/>
      <c r="C36" s="5"/>
      <c r="D36" s="5"/>
      <c r="E36" s="5"/>
      <c r="F36" s="51">
        <v>29</v>
      </c>
      <c r="G36" s="52">
        <f t="shared" si="13"/>
        <v>0</v>
      </c>
      <c r="H36" s="52">
        <f t="shared" si="15"/>
        <v>0</v>
      </c>
      <c r="I36" s="52">
        <f t="shared" si="14"/>
        <v>0</v>
      </c>
      <c r="J36" s="58">
        <f t="shared" si="16"/>
        <v>0</v>
      </c>
      <c r="K36" s="8"/>
      <c r="L36" s="8"/>
      <c r="M36" s="5"/>
      <c r="N36" s="9"/>
      <c r="O36" s="9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5"/>
      <c r="C37" s="5"/>
      <c r="D37" s="5"/>
      <c r="E37" s="5"/>
      <c r="F37" s="51">
        <v>30</v>
      </c>
      <c r="G37" s="52">
        <f t="shared" si="13"/>
        <v>0</v>
      </c>
      <c r="H37" s="52">
        <f t="shared" si="15"/>
        <v>0</v>
      </c>
      <c r="I37" s="52">
        <f t="shared" si="14"/>
        <v>0</v>
      </c>
      <c r="J37" s="58">
        <f t="shared" si="16"/>
        <v>0</v>
      </c>
      <c r="K37" s="8"/>
      <c r="L37" s="8"/>
      <c r="M37" s="5"/>
      <c r="N37" s="9"/>
      <c r="O37" s="9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5"/>
      <c r="C38" s="5"/>
      <c r="D38" s="5"/>
      <c r="E38" s="5"/>
      <c r="F38" s="51">
        <v>31</v>
      </c>
      <c r="G38" s="52">
        <f t="shared" si="13"/>
        <v>0</v>
      </c>
      <c r="H38" s="52">
        <f t="shared" si="15"/>
        <v>0</v>
      </c>
      <c r="I38" s="52">
        <f t="shared" si="14"/>
        <v>0</v>
      </c>
      <c r="J38" s="58">
        <f t="shared" si="16"/>
        <v>0</v>
      </c>
      <c r="K38" s="8"/>
      <c r="L38" s="8"/>
      <c r="M38" s="5"/>
      <c r="N38" s="9"/>
      <c r="O38" s="9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1"/>
      <c r="B39" s="5"/>
      <c r="C39" s="5"/>
      <c r="D39" s="5"/>
      <c r="E39" s="5"/>
      <c r="F39" s="51">
        <v>32</v>
      </c>
      <c r="G39" s="52">
        <f t="shared" si="13"/>
        <v>0</v>
      </c>
      <c r="H39" s="52">
        <f t="shared" si="15"/>
        <v>0</v>
      </c>
      <c r="I39" s="52">
        <f t="shared" si="14"/>
        <v>0</v>
      </c>
      <c r="J39" s="58">
        <f t="shared" si="16"/>
        <v>0</v>
      </c>
      <c r="K39" s="8"/>
      <c r="L39" s="8"/>
      <c r="M39" s="5"/>
      <c r="N39" s="9"/>
      <c r="O39" s="9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1"/>
      <c r="B40" s="5"/>
      <c r="C40" s="5"/>
      <c r="D40" s="5"/>
      <c r="E40" s="5"/>
      <c r="F40" s="51">
        <v>33</v>
      </c>
      <c r="G40" s="52">
        <f t="shared" si="13"/>
        <v>0</v>
      </c>
      <c r="H40" s="52">
        <f t="shared" si="15"/>
        <v>0</v>
      </c>
      <c r="I40" s="52">
        <f t="shared" si="14"/>
        <v>0</v>
      </c>
      <c r="J40" s="58">
        <f t="shared" si="16"/>
        <v>0</v>
      </c>
      <c r="K40" s="8"/>
      <c r="L40" s="8"/>
      <c r="M40" s="5"/>
      <c r="N40" s="9"/>
      <c r="O40" s="9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1"/>
      <c r="B41" s="5"/>
      <c r="C41" s="5"/>
      <c r="D41" s="5"/>
      <c r="E41" s="5"/>
      <c r="F41" s="51">
        <v>34</v>
      </c>
      <c r="G41" s="52">
        <f t="shared" si="13"/>
        <v>0</v>
      </c>
      <c r="H41" s="52">
        <f t="shared" si="15"/>
        <v>0</v>
      </c>
      <c r="I41" s="52">
        <f t="shared" si="14"/>
        <v>0</v>
      </c>
      <c r="J41" s="58">
        <f t="shared" si="16"/>
        <v>0</v>
      </c>
      <c r="K41" s="351" t="s">
        <v>122</v>
      </c>
      <c r="L41" s="343"/>
      <c r="M41" s="5"/>
      <c r="N41" s="9"/>
      <c r="O41" s="9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1"/>
      <c r="B42" s="5"/>
      <c r="C42" s="5"/>
      <c r="D42" s="5"/>
      <c r="E42" s="5"/>
      <c r="F42" s="51">
        <v>35</v>
      </c>
      <c r="G42" s="52">
        <f t="shared" si="13"/>
        <v>0</v>
      </c>
      <c r="H42" s="52">
        <f t="shared" si="15"/>
        <v>0</v>
      </c>
      <c r="I42" s="52">
        <f t="shared" si="14"/>
        <v>0</v>
      </c>
      <c r="J42" s="58">
        <f t="shared" si="16"/>
        <v>0</v>
      </c>
      <c r="K42" s="111" t="s">
        <v>29</v>
      </c>
      <c r="L42" s="112" t="s">
        <v>31</v>
      </c>
      <c r="M42" s="5"/>
      <c r="N42" s="9"/>
      <c r="O42" s="9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1"/>
      <c r="B43" s="5"/>
      <c r="C43" s="5"/>
      <c r="D43" s="5"/>
      <c r="E43" s="5"/>
      <c r="F43" s="51">
        <v>36</v>
      </c>
      <c r="G43" s="52">
        <f t="shared" si="13"/>
        <v>0</v>
      </c>
      <c r="H43" s="52">
        <f t="shared" si="15"/>
        <v>0</v>
      </c>
      <c r="I43" s="52">
        <f t="shared" si="14"/>
        <v>0</v>
      </c>
      <c r="J43" s="58">
        <f t="shared" si="16"/>
        <v>0</v>
      </c>
      <c r="K43" s="117">
        <f t="shared" ref="K43:L43" si="17">SUM(H32:H43)</f>
        <v>0</v>
      </c>
      <c r="L43" s="118">
        <f t="shared" si="17"/>
        <v>0</v>
      </c>
      <c r="M43" s="5"/>
      <c r="N43" s="9"/>
      <c r="O43" s="9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1"/>
      <c r="B44" s="5"/>
      <c r="C44" s="5"/>
      <c r="D44" s="5"/>
      <c r="E44" s="5"/>
      <c r="F44" s="371" t="s">
        <v>15</v>
      </c>
      <c r="G44" s="360"/>
      <c r="H44" s="360"/>
      <c r="I44" s="360"/>
      <c r="J44" s="362"/>
      <c r="K44" s="5"/>
      <c r="L44" s="5"/>
      <c r="M44" s="5"/>
      <c r="N44" s="9"/>
      <c r="O44" s="9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1"/>
      <c r="B45" s="5"/>
      <c r="C45" s="5"/>
      <c r="D45" s="5"/>
      <c r="E45" s="5"/>
      <c r="F45" s="51">
        <v>37</v>
      </c>
      <c r="G45" s="52">
        <f t="shared" ref="G45:G56" si="18">$B$29*-1</f>
        <v>0</v>
      </c>
      <c r="H45" s="52">
        <f>J43*($B$27/12)</f>
        <v>0</v>
      </c>
      <c r="I45" s="52">
        <f t="shared" ref="I45:I55" si="19">G45-H45</f>
        <v>0</v>
      </c>
      <c r="J45" s="58">
        <f>J43-I45</f>
        <v>0</v>
      </c>
      <c r="K45" s="5"/>
      <c r="L45" s="5"/>
      <c r="M45" s="5"/>
      <c r="N45" s="9"/>
      <c r="O45" s="9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1"/>
      <c r="B46" s="5"/>
      <c r="C46" s="5"/>
      <c r="D46" s="5"/>
      <c r="E46" s="5"/>
      <c r="F46" s="51">
        <v>38</v>
      </c>
      <c r="G46" s="52">
        <f t="shared" si="18"/>
        <v>0</v>
      </c>
      <c r="H46" s="52">
        <f t="shared" ref="H46:H56" si="20">J45*($B$27/12)</f>
        <v>0</v>
      </c>
      <c r="I46" s="52">
        <f t="shared" si="19"/>
        <v>0</v>
      </c>
      <c r="J46" s="58">
        <f t="shared" ref="J46:J56" si="21">J45-I46</f>
        <v>0</v>
      </c>
      <c r="K46" s="5"/>
      <c r="L46" s="5"/>
      <c r="M46" s="5"/>
      <c r="N46" s="9"/>
      <c r="O46" s="9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1"/>
      <c r="B47" s="5"/>
      <c r="C47" s="5"/>
      <c r="D47" s="5"/>
      <c r="E47" s="5"/>
      <c r="F47" s="51">
        <v>39</v>
      </c>
      <c r="G47" s="52">
        <f t="shared" si="18"/>
        <v>0</v>
      </c>
      <c r="H47" s="52">
        <f t="shared" si="20"/>
        <v>0</v>
      </c>
      <c r="I47" s="52">
        <f t="shared" si="19"/>
        <v>0</v>
      </c>
      <c r="J47" s="58">
        <f t="shared" si="21"/>
        <v>0</v>
      </c>
      <c r="K47" s="5"/>
      <c r="L47" s="5"/>
      <c r="M47" s="5"/>
      <c r="N47" s="9"/>
      <c r="O47" s="9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1"/>
      <c r="B48" s="5"/>
      <c r="C48" s="5"/>
      <c r="D48" s="5"/>
      <c r="E48" s="5"/>
      <c r="F48" s="51">
        <v>40</v>
      </c>
      <c r="G48" s="52">
        <f t="shared" si="18"/>
        <v>0</v>
      </c>
      <c r="H48" s="52">
        <f t="shared" si="20"/>
        <v>0</v>
      </c>
      <c r="I48" s="52">
        <f t="shared" si="19"/>
        <v>0</v>
      </c>
      <c r="J48" s="58">
        <f t="shared" si="21"/>
        <v>0</v>
      </c>
      <c r="K48" s="5"/>
      <c r="L48" s="5"/>
      <c r="M48" s="5"/>
      <c r="N48" s="9"/>
      <c r="O48" s="9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5"/>
      <c r="C49" s="5"/>
      <c r="D49" s="5"/>
      <c r="E49" s="5"/>
      <c r="F49" s="51">
        <v>41</v>
      </c>
      <c r="G49" s="52">
        <f t="shared" si="18"/>
        <v>0</v>
      </c>
      <c r="H49" s="52">
        <f t="shared" si="20"/>
        <v>0</v>
      </c>
      <c r="I49" s="52">
        <f t="shared" si="19"/>
        <v>0</v>
      </c>
      <c r="J49" s="58">
        <f t="shared" si="21"/>
        <v>0</v>
      </c>
      <c r="K49" s="5"/>
      <c r="L49" s="5"/>
      <c r="M49" s="5"/>
      <c r="N49" s="9"/>
      <c r="O49" s="9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5"/>
      <c r="C50" s="5"/>
      <c r="D50" s="5"/>
      <c r="E50" s="5"/>
      <c r="F50" s="51">
        <v>42</v>
      </c>
      <c r="G50" s="52">
        <f t="shared" si="18"/>
        <v>0</v>
      </c>
      <c r="H50" s="52">
        <f t="shared" si="20"/>
        <v>0</v>
      </c>
      <c r="I50" s="52">
        <f t="shared" si="19"/>
        <v>0</v>
      </c>
      <c r="J50" s="58">
        <f t="shared" si="21"/>
        <v>0</v>
      </c>
      <c r="K50" s="5"/>
      <c r="L50" s="5"/>
      <c r="M50" s="5"/>
      <c r="N50" s="9"/>
      <c r="O50" s="9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5"/>
      <c r="C51" s="5"/>
      <c r="D51" s="5"/>
      <c r="E51" s="5"/>
      <c r="F51" s="51">
        <v>43</v>
      </c>
      <c r="G51" s="52">
        <f t="shared" si="18"/>
        <v>0</v>
      </c>
      <c r="H51" s="52">
        <f t="shared" si="20"/>
        <v>0</v>
      </c>
      <c r="I51" s="52">
        <f t="shared" si="19"/>
        <v>0</v>
      </c>
      <c r="J51" s="58">
        <f t="shared" si="21"/>
        <v>0</v>
      </c>
      <c r="K51" s="5"/>
      <c r="L51" s="5"/>
      <c r="M51" s="5"/>
      <c r="N51" s="9"/>
      <c r="O51" s="9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5"/>
      <c r="C52" s="5"/>
      <c r="D52" s="5"/>
      <c r="E52" s="5"/>
      <c r="F52" s="51">
        <v>44</v>
      </c>
      <c r="G52" s="52">
        <f t="shared" si="18"/>
        <v>0</v>
      </c>
      <c r="H52" s="52">
        <f t="shared" si="20"/>
        <v>0</v>
      </c>
      <c r="I52" s="52">
        <f t="shared" si="19"/>
        <v>0</v>
      </c>
      <c r="J52" s="58">
        <f t="shared" si="21"/>
        <v>0</v>
      </c>
      <c r="K52" s="5"/>
      <c r="L52" s="5"/>
      <c r="M52" s="5"/>
      <c r="N52" s="9"/>
      <c r="O52" s="9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1">
        <v>45</v>
      </c>
      <c r="G53" s="52">
        <f t="shared" si="18"/>
        <v>0</v>
      </c>
      <c r="H53" s="52">
        <f t="shared" si="20"/>
        <v>0</v>
      </c>
      <c r="I53" s="52">
        <f t="shared" si="19"/>
        <v>0</v>
      </c>
      <c r="J53" s="58">
        <f t="shared" si="21"/>
        <v>0</v>
      </c>
      <c r="K53" s="5"/>
      <c r="L53" s="5"/>
      <c r="M53" s="5"/>
      <c r="N53" s="9"/>
      <c r="O53" s="9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1">
        <v>46</v>
      </c>
      <c r="G54" s="52">
        <f t="shared" si="18"/>
        <v>0</v>
      </c>
      <c r="H54" s="52">
        <f t="shared" si="20"/>
        <v>0</v>
      </c>
      <c r="I54" s="52">
        <f t="shared" si="19"/>
        <v>0</v>
      </c>
      <c r="J54" s="58">
        <f t="shared" si="21"/>
        <v>0</v>
      </c>
      <c r="K54" s="351" t="s">
        <v>128</v>
      </c>
      <c r="L54" s="343"/>
      <c r="M54" s="5"/>
      <c r="N54" s="9"/>
      <c r="O54" s="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5"/>
      <c r="C55" s="5"/>
      <c r="D55" s="5"/>
      <c r="E55" s="5"/>
      <c r="F55" s="51">
        <v>47</v>
      </c>
      <c r="G55" s="52">
        <f t="shared" si="18"/>
        <v>0</v>
      </c>
      <c r="H55" s="52">
        <f t="shared" si="20"/>
        <v>0</v>
      </c>
      <c r="I55" s="52">
        <f t="shared" si="19"/>
        <v>0</v>
      </c>
      <c r="J55" s="58">
        <f t="shared" si="21"/>
        <v>0</v>
      </c>
      <c r="K55" s="111" t="s">
        <v>29</v>
      </c>
      <c r="L55" s="112" t="s">
        <v>31</v>
      </c>
      <c r="M55" s="5"/>
      <c r="N55" s="9"/>
      <c r="O55" s="9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225">
        <v>48</v>
      </c>
      <c r="G56" s="108">
        <f t="shared" si="18"/>
        <v>0</v>
      </c>
      <c r="H56" s="108">
        <f t="shared" si="20"/>
        <v>0</v>
      </c>
      <c r="I56" s="108">
        <f>+J55</f>
        <v>0</v>
      </c>
      <c r="J56" s="227">
        <f t="shared" si="21"/>
        <v>0</v>
      </c>
      <c r="K56" s="117">
        <f t="shared" ref="K56:L56" si="22">SUM(H45:H56)</f>
        <v>0</v>
      </c>
      <c r="L56" s="118">
        <f t="shared" si="22"/>
        <v>0</v>
      </c>
      <c r="M56" s="5"/>
      <c r="N56" s="9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9"/>
      <c r="O57" s="9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9"/>
      <c r="O58" s="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9"/>
      <c r="O59" s="9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9"/>
      <c r="O60" s="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9"/>
      <c r="O61" s="9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9"/>
      <c r="O62" s="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9"/>
      <c r="O63" s="9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9"/>
      <c r="O64" s="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1"/>
      <c r="B65" s="5"/>
      <c r="C65" s="234"/>
      <c r="D65" s="5"/>
      <c r="E65" s="5"/>
      <c r="F65" s="5"/>
      <c r="G65" s="5"/>
      <c r="H65" s="5"/>
      <c r="I65" s="5"/>
      <c r="J65" s="5"/>
      <c r="K65" s="5"/>
      <c r="L65" s="5"/>
      <c r="M65" s="5"/>
      <c r="N65" s="9"/>
      <c r="O65" s="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1"/>
      <c r="B66" s="239"/>
      <c r="C66" s="119"/>
      <c r="D66" s="122"/>
      <c r="E66" s="5"/>
      <c r="F66" s="5"/>
      <c r="G66" s="5"/>
      <c r="H66" s="5"/>
      <c r="I66" s="5"/>
      <c r="J66" s="5"/>
      <c r="K66" s="5"/>
      <c r="L66" s="5"/>
      <c r="M66" s="5"/>
      <c r="N66" s="9"/>
      <c r="O66" s="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1"/>
      <c r="B67" s="239"/>
      <c r="C67" s="119"/>
      <c r="D67" s="122"/>
      <c r="E67" s="122"/>
      <c r="F67" s="5"/>
      <c r="G67" s="5"/>
      <c r="H67" s="5"/>
      <c r="I67" s="5"/>
      <c r="J67" s="5"/>
      <c r="K67" s="5"/>
      <c r="L67" s="5"/>
      <c r="M67" s="5"/>
      <c r="N67" s="9"/>
      <c r="O67" s="9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1"/>
      <c r="B68" s="239"/>
      <c r="C68" s="119"/>
      <c r="D68" s="122"/>
      <c r="E68" s="5"/>
      <c r="F68" s="5"/>
      <c r="G68" s="5"/>
      <c r="H68" s="5"/>
      <c r="I68" s="5"/>
      <c r="J68" s="5"/>
      <c r="K68" s="5"/>
      <c r="L68" s="5"/>
      <c r="M68" s="5"/>
      <c r="N68" s="9"/>
      <c r="O68" s="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1"/>
      <c r="B69" s="239"/>
      <c r="C69" s="119"/>
      <c r="D69" s="122"/>
      <c r="E69" s="5"/>
      <c r="F69" s="5"/>
      <c r="G69" s="5"/>
      <c r="H69" s="5"/>
      <c r="I69" s="5"/>
      <c r="J69" s="5"/>
      <c r="K69" s="5"/>
      <c r="L69" s="5"/>
      <c r="M69" s="5"/>
      <c r="N69" s="9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1"/>
      <c r="B70" s="5"/>
      <c r="C70" s="119"/>
      <c r="D70" s="5"/>
      <c r="E70" s="5"/>
      <c r="F70" s="5"/>
      <c r="G70" s="5"/>
      <c r="H70" s="5"/>
      <c r="I70" s="5"/>
      <c r="J70" s="5"/>
      <c r="K70" s="5"/>
      <c r="L70" s="5"/>
      <c r="M70" s="5"/>
      <c r="N70" s="9"/>
      <c r="O70" s="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9"/>
      <c r="O71" s="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9"/>
      <c r="O72" s="9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9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9"/>
      <c r="O74" s="9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9"/>
      <c r="O75" s="9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9"/>
      <c r="O76" s="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9"/>
      <c r="O77" s="9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9"/>
      <c r="O78" s="9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9"/>
      <c r="O79" s="9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9"/>
      <c r="O80" s="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9"/>
      <c r="O81" s="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9"/>
      <c r="O82" s="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9"/>
      <c r="O83" s="9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9"/>
      <c r="O84" s="9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9"/>
      <c r="O85" s="9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9"/>
      <c r="O86" s="9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9"/>
      <c r="O87" s="9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9"/>
      <c r="O88" s="9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9"/>
      <c r="O89" s="9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9"/>
      <c r="O90" s="9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9"/>
      <c r="O91" s="9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9"/>
      <c r="O92" s="9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9"/>
      <c r="O93" s="9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9"/>
      <c r="O94" s="9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9"/>
      <c r="O95" s="9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9"/>
      <c r="O96" s="9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9"/>
      <c r="O97" s="9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9"/>
      <c r="O98" s="9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9"/>
      <c r="O99" s="9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9"/>
      <c r="O100" s="9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9"/>
      <c r="O101" s="9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9"/>
      <c r="O102" s="9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9"/>
      <c r="O103" s="9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9"/>
      <c r="O104" s="9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9"/>
      <c r="O105" s="9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9"/>
      <c r="O106" s="9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9"/>
      <c r="O107" s="9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9"/>
      <c r="O108" s="9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9"/>
      <c r="O109" s="9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9"/>
      <c r="O110" s="9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9"/>
      <c r="O111" s="9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9"/>
      <c r="O112" s="9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9"/>
      <c r="O113" s="9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9"/>
      <c r="O114" s="9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9"/>
      <c r="O115" s="9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9"/>
      <c r="O116" s="9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9"/>
      <c r="O117" s="9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9"/>
      <c r="O118" s="9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9"/>
      <c r="O119" s="9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9"/>
      <c r="O120" s="9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9"/>
      <c r="O121" s="9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9"/>
      <c r="O122" s="9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9"/>
      <c r="O123" s="9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9"/>
      <c r="O124" s="9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9"/>
      <c r="O125" s="9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9"/>
      <c r="O126" s="9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9"/>
      <c r="O127" s="9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9"/>
      <c r="O128" s="9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9"/>
      <c r="O129" s="9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9"/>
      <c r="O130" s="9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9"/>
      <c r="O131" s="9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9"/>
      <c r="O132" s="9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9"/>
      <c r="O133" s="9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9"/>
      <c r="O134" s="9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9"/>
      <c r="O135" s="9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9"/>
      <c r="O136" s="9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9"/>
      <c r="O137" s="9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9"/>
      <c r="O138" s="9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9"/>
      <c r="O139" s="9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9"/>
      <c r="O140" s="9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9"/>
      <c r="O141" s="9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9"/>
      <c r="O142" s="9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9"/>
      <c r="O143" s="9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9"/>
      <c r="O144" s="9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9"/>
      <c r="O145" s="9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9"/>
      <c r="O146" s="9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9"/>
      <c r="O147" s="9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9"/>
      <c r="O148" s="9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9"/>
      <c r="O149" s="9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9"/>
      <c r="O150" s="9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9"/>
      <c r="O151" s="9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9"/>
      <c r="O152" s="9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9"/>
      <c r="O153" s="9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9"/>
      <c r="O154" s="9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9"/>
      <c r="O155" s="9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9"/>
      <c r="O156" s="9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9"/>
      <c r="O157" s="9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9"/>
      <c r="O158" s="9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9"/>
      <c r="O159" s="9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9"/>
      <c r="O160" s="9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9"/>
      <c r="O161" s="9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9"/>
      <c r="O162" s="9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9"/>
      <c r="O163" s="9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9"/>
      <c r="O164" s="9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9"/>
      <c r="O165" s="9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9"/>
      <c r="O166" s="9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9"/>
      <c r="O167" s="9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9"/>
      <c r="O168" s="9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9"/>
      <c r="O169" s="9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9"/>
      <c r="O170" s="9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9"/>
      <c r="O171" s="9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9"/>
      <c r="O172" s="9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9"/>
      <c r="O173" s="9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9"/>
      <c r="O174" s="9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9"/>
      <c r="O175" s="9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9"/>
      <c r="O176" s="9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9"/>
      <c r="O177" s="9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9"/>
      <c r="O178" s="9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9"/>
      <c r="O179" s="9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9"/>
      <c r="O180" s="9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9"/>
      <c r="O181" s="9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9"/>
      <c r="O182" s="9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9"/>
      <c r="O183" s="9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9"/>
      <c r="O184" s="9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9"/>
      <c r="O185" s="9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9"/>
      <c r="O186" s="9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9"/>
      <c r="O187" s="9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9"/>
      <c r="O188" s="9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9"/>
      <c r="O189" s="9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9"/>
      <c r="O190" s="9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9"/>
      <c r="O191" s="9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9"/>
      <c r="O192" s="9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9"/>
      <c r="O193" s="9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9"/>
      <c r="O194" s="9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9"/>
      <c r="O195" s="9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9"/>
      <c r="O196" s="9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9"/>
      <c r="O197" s="9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9"/>
      <c r="O198" s="9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9"/>
      <c r="O199" s="9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9"/>
      <c r="O200" s="9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9"/>
      <c r="O201" s="9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9"/>
      <c r="O202" s="9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9"/>
      <c r="O203" s="9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9"/>
      <c r="O204" s="9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9"/>
      <c r="O205" s="9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9"/>
      <c r="O206" s="9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9"/>
      <c r="O207" s="9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9"/>
      <c r="O208" s="9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9"/>
      <c r="O209" s="9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9"/>
      <c r="O210" s="9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9"/>
      <c r="O211" s="9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9"/>
      <c r="O212" s="9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9"/>
      <c r="O213" s="9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9"/>
      <c r="O214" s="9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9"/>
      <c r="O215" s="9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9"/>
      <c r="O216" s="9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9"/>
      <c r="O217" s="9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9"/>
      <c r="O218" s="9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9"/>
      <c r="O219" s="9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9"/>
      <c r="O220" s="9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9"/>
      <c r="O221" s="9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9"/>
      <c r="O222" s="9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9"/>
      <c r="O223" s="9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9"/>
      <c r="O224" s="9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9"/>
      <c r="O225" s="9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9"/>
      <c r="O226" s="9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9"/>
      <c r="O227" s="9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9"/>
      <c r="O228" s="9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9"/>
      <c r="O229" s="9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9"/>
      <c r="O230" s="9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9"/>
      <c r="O231" s="9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9"/>
      <c r="O232" s="9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9"/>
      <c r="O233" s="9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9"/>
      <c r="O234" s="9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9"/>
      <c r="O235" s="9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9"/>
      <c r="O236" s="9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9"/>
      <c r="O237" s="9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9"/>
      <c r="O238" s="9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9"/>
      <c r="O239" s="9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9"/>
      <c r="O240" s="9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9"/>
      <c r="O241" s="9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9"/>
      <c r="O242" s="9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9"/>
      <c r="O243" s="9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9"/>
      <c r="O244" s="9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9"/>
      <c r="O245" s="9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9"/>
      <c r="O246" s="9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9"/>
      <c r="O247" s="9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9"/>
      <c r="O248" s="9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9"/>
      <c r="O249" s="9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9"/>
      <c r="O250" s="9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9"/>
      <c r="O251" s="9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9"/>
      <c r="O252" s="9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9"/>
      <c r="O253" s="9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9"/>
      <c r="O254" s="9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9"/>
      <c r="O255" s="9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9"/>
      <c r="O256" s="9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9"/>
      <c r="O257" s="9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9"/>
      <c r="O258" s="9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9"/>
      <c r="O259" s="9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9"/>
      <c r="O260" s="9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9"/>
      <c r="O261" s="9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9"/>
      <c r="O262" s="9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9"/>
      <c r="O263" s="9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9"/>
      <c r="O264" s="9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9"/>
      <c r="O265" s="9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9"/>
      <c r="O266" s="9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9"/>
      <c r="O267" s="9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9"/>
      <c r="O268" s="9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9"/>
      <c r="O269" s="9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9"/>
      <c r="O270" s="9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9"/>
      <c r="O271" s="9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9"/>
      <c r="O272" s="9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9"/>
      <c r="O273" s="9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9"/>
      <c r="O274" s="9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9"/>
      <c r="O275" s="9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9"/>
      <c r="O276" s="9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9"/>
      <c r="O277" s="9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9"/>
      <c r="O278" s="9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9"/>
      <c r="O279" s="9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9"/>
      <c r="O280" s="9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9"/>
      <c r="O281" s="9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9"/>
      <c r="O282" s="9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9"/>
      <c r="O283" s="9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9"/>
      <c r="O284" s="9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9"/>
      <c r="O285" s="9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9"/>
      <c r="O286" s="9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9"/>
      <c r="O287" s="9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9"/>
      <c r="O288" s="9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9"/>
      <c r="O289" s="9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9"/>
      <c r="O290" s="9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9"/>
      <c r="O291" s="9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9"/>
      <c r="O292" s="9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9"/>
      <c r="O293" s="9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9"/>
      <c r="O294" s="9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9"/>
      <c r="O295" s="9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9"/>
      <c r="O296" s="9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9"/>
      <c r="O297" s="9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9"/>
      <c r="O298" s="9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9"/>
      <c r="O299" s="9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9"/>
      <c r="O300" s="9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9"/>
      <c r="O301" s="9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9"/>
      <c r="O302" s="9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9"/>
      <c r="O303" s="9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9"/>
      <c r="O304" s="9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9"/>
      <c r="O305" s="9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9"/>
      <c r="O306" s="9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9"/>
      <c r="O307" s="9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9"/>
      <c r="O308" s="9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9"/>
      <c r="O309" s="9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9"/>
      <c r="O310" s="9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9"/>
      <c r="O311" s="9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9"/>
      <c r="O312" s="9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9"/>
      <c r="O313" s="9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9"/>
      <c r="O314" s="9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9"/>
      <c r="O315" s="9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9"/>
      <c r="O316" s="9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9"/>
      <c r="O317" s="9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9"/>
      <c r="O318" s="9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9"/>
      <c r="O319" s="9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9"/>
      <c r="O320" s="9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9"/>
      <c r="O321" s="9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9"/>
      <c r="O322" s="9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9"/>
      <c r="O323" s="9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9"/>
      <c r="O324" s="9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9"/>
      <c r="O325" s="9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9"/>
      <c r="O326" s="9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9"/>
      <c r="O327" s="9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9"/>
      <c r="O328" s="9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9"/>
      <c r="O329" s="9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9"/>
      <c r="O330" s="9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9"/>
      <c r="O331" s="9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9"/>
      <c r="O332" s="9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9"/>
      <c r="O333" s="9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9"/>
      <c r="O334" s="9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9"/>
      <c r="O335" s="9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9"/>
      <c r="O336" s="9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9"/>
      <c r="O337" s="9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9"/>
      <c r="O338" s="9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9"/>
      <c r="O339" s="9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9"/>
      <c r="O340" s="9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9"/>
      <c r="O341" s="9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9"/>
      <c r="O342" s="9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9"/>
      <c r="O343" s="9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9"/>
      <c r="O344" s="9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9"/>
      <c r="O345" s="9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9"/>
      <c r="O346" s="9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9"/>
      <c r="O347" s="9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9"/>
      <c r="O348" s="9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9"/>
      <c r="O349" s="9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9"/>
      <c r="O350" s="9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9"/>
      <c r="O351" s="9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9"/>
      <c r="O352" s="9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9"/>
      <c r="O353" s="9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9"/>
      <c r="O354" s="9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9"/>
      <c r="O355" s="9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9"/>
      <c r="O356" s="9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9"/>
      <c r="O357" s="9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9"/>
      <c r="O358" s="9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9"/>
      <c r="O359" s="9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9"/>
      <c r="O360" s="9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9"/>
      <c r="O361" s="9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9"/>
      <c r="O362" s="9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9"/>
      <c r="O363" s="9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9"/>
      <c r="O364" s="9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9"/>
      <c r="O365" s="9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9"/>
      <c r="O366" s="9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9"/>
      <c r="O367" s="9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9"/>
      <c r="O368" s="9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9"/>
      <c r="O369" s="9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9"/>
      <c r="O370" s="9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9"/>
      <c r="O371" s="9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9"/>
      <c r="O372" s="9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9"/>
      <c r="O373" s="9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9"/>
      <c r="O374" s="9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9"/>
      <c r="O375" s="9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9"/>
      <c r="O376" s="9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9"/>
      <c r="O377" s="9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9"/>
      <c r="O378" s="9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9"/>
      <c r="O379" s="9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9"/>
      <c r="O380" s="9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9"/>
      <c r="O381" s="9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9"/>
      <c r="O382" s="9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9"/>
      <c r="O383" s="9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9"/>
      <c r="O384" s="9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9"/>
      <c r="O385" s="9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9"/>
      <c r="O386" s="9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9"/>
      <c r="O387" s="9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9"/>
      <c r="O388" s="9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9"/>
      <c r="O389" s="9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9"/>
      <c r="O390" s="9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9"/>
      <c r="O391" s="9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9"/>
      <c r="O392" s="9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9"/>
      <c r="O393" s="9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9"/>
      <c r="O394" s="9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9"/>
      <c r="O395" s="9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9"/>
      <c r="O396" s="9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9"/>
      <c r="O397" s="9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9"/>
      <c r="O398" s="9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9"/>
      <c r="O399" s="9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9"/>
      <c r="O400" s="9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9"/>
      <c r="O401" s="9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9"/>
      <c r="O402" s="9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9"/>
      <c r="O403" s="9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9"/>
      <c r="O404" s="9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9"/>
      <c r="O405" s="9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9"/>
      <c r="O406" s="9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9"/>
      <c r="O407" s="9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9"/>
      <c r="O408" s="9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9"/>
      <c r="O409" s="9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9"/>
      <c r="O410" s="9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9"/>
      <c r="O411" s="9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9"/>
      <c r="O412" s="9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9"/>
      <c r="O413" s="9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9"/>
      <c r="O414" s="9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9"/>
      <c r="O415" s="9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9"/>
      <c r="O416" s="9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9"/>
      <c r="O417" s="9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9"/>
      <c r="O418" s="9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9"/>
      <c r="O419" s="9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9"/>
      <c r="O420" s="9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9"/>
      <c r="O421" s="9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9"/>
      <c r="O422" s="9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9"/>
      <c r="O423" s="9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9"/>
      <c r="O424" s="9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9"/>
      <c r="O425" s="9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9"/>
      <c r="O426" s="9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9"/>
      <c r="O427" s="9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9"/>
      <c r="O428" s="9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9"/>
      <c r="O429" s="9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9"/>
      <c r="O430" s="9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9"/>
      <c r="O431" s="9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9"/>
      <c r="O432" s="9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9"/>
      <c r="O433" s="9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9"/>
      <c r="O434" s="9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9"/>
      <c r="O435" s="9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9"/>
      <c r="O436" s="9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9"/>
      <c r="O437" s="9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9"/>
      <c r="O438" s="9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9"/>
      <c r="O439" s="9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9"/>
      <c r="O440" s="9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9"/>
      <c r="O441" s="9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9"/>
      <c r="O442" s="9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9"/>
      <c r="O443" s="9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9"/>
      <c r="O444" s="9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9"/>
      <c r="O445" s="9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9"/>
      <c r="O446" s="9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9"/>
      <c r="O447" s="9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9"/>
      <c r="O448" s="9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9"/>
      <c r="O449" s="9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9"/>
      <c r="O450" s="9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9"/>
      <c r="O451" s="9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9"/>
      <c r="O452" s="9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9"/>
      <c r="O453" s="9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9"/>
      <c r="O454" s="9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9"/>
      <c r="O455" s="9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9"/>
      <c r="O456" s="9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9"/>
      <c r="O457" s="9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9"/>
      <c r="O458" s="9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9"/>
      <c r="O459" s="9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9"/>
      <c r="O460" s="9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9"/>
      <c r="O461" s="9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9"/>
      <c r="O462" s="9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9"/>
      <c r="O463" s="9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9"/>
      <c r="O464" s="9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9"/>
      <c r="O465" s="9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9"/>
      <c r="O466" s="9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9"/>
      <c r="O467" s="9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9"/>
      <c r="O468" s="9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9"/>
      <c r="O469" s="9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9"/>
      <c r="O470" s="9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9"/>
      <c r="O471" s="9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9"/>
      <c r="O472" s="9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9"/>
      <c r="O473" s="9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9"/>
      <c r="O474" s="9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9"/>
      <c r="O475" s="9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9"/>
      <c r="O476" s="9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9"/>
      <c r="O477" s="9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9"/>
      <c r="O478" s="9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9"/>
      <c r="O479" s="9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9"/>
      <c r="O480" s="9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9"/>
      <c r="O481" s="9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9"/>
      <c r="O482" s="9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9"/>
      <c r="O483" s="9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9"/>
      <c r="O484" s="9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9"/>
      <c r="O485" s="9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9"/>
      <c r="O486" s="9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9"/>
      <c r="O487" s="9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9"/>
      <c r="O488" s="9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9"/>
      <c r="O489" s="9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9"/>
      <c r="O490" s="9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9"/>
      <c r="O491" s="9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9"/>
      <c r="O492" s="9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9"/>
      <c r="O493" s="9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9"/>
      <c r="O494" s="9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9"/>
      <c r="O495" s="9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9"/>
      <c r="O496" s="9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9"/>
      <c r="O497" s="9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9"/>
      <c r="O498" s="9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9"/>
      <c r="O499" s="9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9"/>
      <c r="O500" s="9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9"/>
      <c r="O501" s="9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9"/>
      <c r="O502" s="9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9"/>
      <c r="O503" s="9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9"/>
      <c r="O504" s="9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9"/>
      <c r="O505" s="9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9"/>
      <c r="O506" s="9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9"/>
      <c r="O507" s="9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9"/>
      <c r="O508" s="9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9"/>
      <c r="O509" s="9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9"/>
      <c r="O510" s="9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9"/>
      <c r="O511" s="9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9"/>
      <c r="O512" s="9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9"/>
      <c r="O513" s="9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9"/>
      <c r="O514" s="9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9"/>
      <c r="O515" s="9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9"/>
      <c r="O516" s="9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9"/>
      <c r="O517" s="9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9"/>
      <c r="O518" s="9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9"/>
      <c r="O519" s="9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9"/>
      <c r="O520" s="9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9"/>
      <c r="O521" s="9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9"/>
      <c r="O522" s="9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9"/>
      <c r="O523" s="9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9"/>
      <c r="O524" s="9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9"/>
      <c r="O525" s="9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9"/>
      <c r="O526" s="9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9"/>
      <c r="O527" s="9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9"/>
      <c r="O528" s="9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9"/>
      <c r="O529" s="9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9"/>
      <c r="O530" s="9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9"/>
      <c r="O531" s="9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9"/>
      <c r="O532" s="9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9"/>
      <c r="O533" s="9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9"/>
      <c r="O534" s="9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9"/>
      <c r="O535" s="9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9"/>
      <c r="O536" s="9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9"/>
      <c r="O537" s="9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9"/>
      <c r="O538" s="9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9"/>
      <c r="O539" s="9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9"/>
      <c r="O540" s="9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9"/>
      <c r="O541" s="9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9"/>
      <c r="O542" s="9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9"/>
      <c r="O543" s="9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9"/>
      <c r="O544" s="9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9"/>
      <c r="O545" s="9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9"/>
      <c r="O546" s="9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9"/>
      <c r="O547" s="9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9"/>
      <c r="O548" s="9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9"/>
      <c r="O549" s="9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9"/>
      <c r="O550" s="9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9"/>
      <c r="O551" s="9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9"/>
      <c r="O552" s="9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9"/>
      <c r="O553" s="9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9"/>
      <c r="O554" s="9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9"/>
      <c r="O555" s="9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9"/>
      <c r="O556" s="9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9"/>
      <c r="O557" s="9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9"/>
      <c r="O558" s="9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9"/>
      <c r="O559" s="9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9"/>
      <c r="O560" s="9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9"/>
      <c r="O561" s="9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9"/>
      <c r="O562" s="9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9"/>
      <c r="O563" s="9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9"/>
      <c r="O564" s="9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9"/>
      <c r="O565" s="9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9"/>
      <c r="O566" s="9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9"/>
      <c r="O567" s="9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9"/>
      <c r="O568" s="9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9"/>
      <c r="O569" s="9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9"/>
      <c r="O570" s="9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9"/>
      <c r="O571" s="9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9"/>
      <c r="O572" s="9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9"/>
      <c r="O573" s="9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9"/>
      <c r="O574" s="9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9"/>
      <c r="O575" s="9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9"/>
      <c r="O576" s="9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9"/>
      <c r="O577" s="9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9"/>
      <c r="O578" s="9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9"/>
      <c r="O579" s="9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9"/>
      <c r="O580" s="9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9"/>
      <c r="O581" s="9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9"/>
      <c r="O582" s="9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9"/>
      <c r="O583" s="9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9"/>
      <c r="O584" s="9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9"/>
      <c r="O585" s="9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9"/>
      <c r="O586" s="9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9"/>
      <c r="O587" s="9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9"/>
      <c r="O588" s="9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9"/>
      <c r="O589" s="9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9"/>
      <c r="O590" s="9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9"/>
      <c r="O591" s="9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9"/>
      <c r="O592" s="9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9"/>
      <c r="O593" s="9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9"/>
      <c r="O594" s="9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9"/>
      <c r="O595" s="9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9"/>
      <c r="O596" s="9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9"/>
      <c r="O597" s="9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9"/>
      <c r="O598" s="9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9"/>
      <c r="O599" s="9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9"/>
      <c r="O600" s="9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9"/>
      <c r="O601" s="9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9"/>
      <c r="O602" s="9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9"/>
      <c r="O603" s="9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9"/>
      <c r="O604" s="9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9"/>
      <c r="O605" s="9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9"/>
      <c r="O606" s="9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9"/>
      <c r="O607" s="9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9"/>
      <c r="O608" s="9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9"/>
      <c r="O609" s="9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9"/>
      <c r="O610" s="9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9"/>
      <c r="O611" s="9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9"/>
      <c r="O612" s="9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9"/>
      <c r="O613" s="9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9"/>
      <c r="O614" s="9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9"/>
      <c r="O615" s="9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9"/>
      <c r="O616" s="9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9"/>
      <c r="O617" s="9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9"/>
      <c r="O618" s="9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9"/>
      <c r="O619" s="9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9"/>
      <c r="O620" s="9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9"/>
      <c r="O621" s="9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9"/>
      <c r="O622" s="9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9"/>
      <c r="O623" s="9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9"/>
      <c r="O624" s="9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9"/>
      <c r="O625" s="9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9"/>
      <c r="O626" s="9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9"/>
      <c r="O627" s="9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9"/>
      <c r="O628" s="9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9"/>
      <c r="O629" s="9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9"/>
      <c r="O630" s="9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9"/>
      <c r="O631" s="9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9"/>
      <c r="O632" s="9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9"/>
      <c r="O633" s="9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9"/>
      <c r="O634" s="9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9"/>
      <c r="O635" s="9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9"/>
      <c r="O636" s="9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9"/>
      <c r="O637" s="9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9"/>
      <c r="O638" s="9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9"/>
      <c r="O639" s="9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9"/>
      <c r="O640" s="9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9"/>
      <c r="O641" s="9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9"/>
      <c r="O642" s="9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9"/>
      <c r="O643" s="9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9"/>
      <c r="O644" s="9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9"/>
      <c r="O645" s="9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9"/>
      <c r="O646" s="9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9"/>
      <c r="O647" s="9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9"/>
      <c r="O648" s="9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9"/>
      <c r="O649" s="9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9"/>
      <c r="O650" s="9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9"/>
      <c r="O651" s="9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9"/>
      <c r="O652" s="9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9"/>
      <c r="O653" s="9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9"/>
      <c r="O654" s="9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9"/>
      <c r="O655" s="9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9"/>
      <c r="O656" s="9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9"/>
      <c r="O657" s="9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9"/>
      <c r="O658" s="9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9"/>
      <c r="O659" s="9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9"/>
      <c r="O660" s="9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9"/>
      <c r="O661" s="9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9"/>
      <c r="O662" s="9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9"/>
      <c r="O663" s="9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9"/>
      <c r="O664" s="9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9"/>
      <c r="O665" s="9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9"/>
      <c r="O666" s="9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9"/>
      <c r="O667" s="9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9"/>
      <c r="O668" s="9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9"/>
      <c r="O669" s="9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9"/>
      <c r="O670" s="9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9"/>
      <c r="O671" s="9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9"/>
      <c r="O672" s="9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9"/>
      <c r="O673" s="9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9"/>
      <c r="O674" s="9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9"/>
      <c r="O675" s="9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9"/>
      <c r="O676" s="9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9"/>
      <c r="O677" s="9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9"/>
      <c r="O678" s="9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9"/>
      <c r="O679" s="9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9"/>
      <c r="O680" s="9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9"/>
      <c r="O681" s="9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9"/>
      <c r="O682" s="9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9"/>
      <c r="O683" s="9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9"/>
      <c r="O684" s="9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9"/>
      <c r="O685" s="9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9"/>
      <c r="O686" s="9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9"/>
      <c r="O687" s="9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9"/>
      <c r="O688" s="9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9"/>
      <c r="O689" s="9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9"/>
      <c r="O690" s="9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9"/>
      <c r="O691" s="9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9"/>
      <c r="O692" s="9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9"/>
      <c r="O693" s="9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9"/>
      <c r="O694" s="9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9"/>
      <c r="O695" s="9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9"/>
      <c r="O696" s="9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9"/>
      <c r="O697" s="9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9"/>
      <c r="O698" s="9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9"/>
      <c r="O699" s="9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9"/>
      <c r="O700" s="9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9"/>
      <c r="O701" s="9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9"/>
      <c r="O702" s="9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9"/>
      <c r="O703" s="9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9"/>
      <c r="O704" s="9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9"/>
      <c r="O705" s="9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9"/>
      <c r="O706" s="9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9"/>
      <c r="O707" s="9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9"/>
      <c r="O708" s="9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9"/>
      <c r="O709" s="9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9"/>
      <c r="O710" s="9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9"/>
      <c r="O711" s="9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9"/>
      <c r="O712" s="9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9"/>
      <c r="O713" s="9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9"/>
      <c r="O714" s="9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9"/>
      <c r="O715" s="9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9"/>
      <c r="O716" s="9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9"/>
      <c r="O717" s="9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9"/>
      <c r="O718" s="9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9"/>
      <c r="O719" s="9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9"/>
      <c r="O720" s="9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9"/>
      <c r="O721" s="9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9"/>
      <c r="O722" s="9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9"/>
      <c r="O723" s="9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9"/>
      <c r="O724" s="9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9"/>
      <c r="O725" s="9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9"/>
      <c r="O726" s="9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9"/>
      <c r="O727" s="9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9"/>
      <c r="O728" s="9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9"/>
      <c r="O729" s="9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9"/>
      <c r="O730" s="9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9"/>
      <c r="O731" s="9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9"/>
      <c r="O732" s="9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9"/>
      <c r="O733" s="9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9"/>
      <c r="O734" s="9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9"/>
      <c r="O735" s="9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9"/>
      <c r="O736" s="9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9"/>
      <c r="O737" s="9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9"/>
      <c r="O738" s="9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9"/>
      <c r="O739" s="9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9"/>
      <c r="O740" s="9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9"/>
      <c r="O741" s="9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9"/>
      <c r="O742" s="9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9"/>
      <c r="O743" s="9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9"/>
      <c r="O744" s="9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9"/>
      <c r="O745" s="9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9"/>
      <c r="O746" s="9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9"/>
      <c r="O747" s="9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9"/>
      <c r="O748" s="9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9"/>
      <c r="O749" s="9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9"/>
      <c r="O750" s="9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9"/>
      <c r="O751" s="9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9"/>
      <c r="O752" s="9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9"/>
      <c r="O753" s="9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9"/>
      <c r="O754" s="9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9"/>
      <c r="O755" s="9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9"/>
      <c r="O756" s="9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9"/>
      <c r="O757" s="9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9"/>
      <c r="O758" s="9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9"/>
      <c r="O759" s="9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9"/>
      <c r="O760" s="9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9"/>
      <c r="O761" s="9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9"/>
      <c r="O762" s="9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9"/>
      <c r="O763" s="9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9"/>
      <c r="O764" s="9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9"/>
      <c r="O765" s="9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9"/>
      <c r="O766" s="9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9"/>
      <c r="O767" s="9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9"/>
      <c r="O768" s="9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9"/>
      <c r="O769" s="9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9"/>
      <c r="O770" s="9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9"/>
      <c r="O771" s="9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9"/>
      <c r="O772" s="9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9"/>
      <c r="O773" s="9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9"/>
      <c r="O774" s="9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9"/>
      <c r="O775" s="9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9"/>
      <c r="O776" s="9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9"/>
      <c r="O777" s="9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9"/>
      <c r="O778" s="9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9"/>
      <c r="O779" s="9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9"/>
      <c r="O780" s="9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9"/>
      <c r="O781" s="9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9"/>
      <c r="O782" s="9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9"/>
      <c r="O783" s="9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9"/>
      <c r="O784" s="9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9"/>
      <c r="O785" s="9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9"/>
      <c r="O786" s="9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9"/>
      <c r="O787" s="9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9"/>
      <c r="O788" s="9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9"/>
      <c r="O789" s="9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9"/>
      <c r="O790" s="9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9"/>
      <c r="O791" s="9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9"/>
      <c r="O792" s="9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9"/>
      <c r="O793" s="9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9"/>
      <c r="O794" s="9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9"/>
      <c r="O795" s="9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9"/>
      <c r="O796" s="9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9"/>
      <c r="O797" s="9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9"/>
      <c r="O798" s="9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9"/>
      <c r="O799" s="9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9"/>
      <c r="O800" s="9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9"/>
      <c r="O801" s="9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9"/>
      <c r="O802" s="9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9"/>
      <c r="O803" s="9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9"/>
      <c r="O804" s="9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9"/>
      <c r="O805" s="9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9"/>
      <c r="O806" s="9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9"/>
      <c r="O807" s="9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9"/>
      <c r="O808" s="9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9"/>
      <c r="O809" s="9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9"/>
      <c r="O810" s="9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9"/>
      <c r="O811" s="9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9"/>
      <c r="O812" s="9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9"/>
      <c r="O813" s="9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9"/>
      <c r="O814" s="9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9"/>
      <c r="O815" s="9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9"/>
      <c r="O816" s="9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9"/>
      <c r="O817" s="9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9"/>
      <c r="O818" s="9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9"/>
      <c r="O819" s="9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9"/>
      <c r="O820" s="9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9"/>
      <c r="O821" s="9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9"/>
      <c r="O822" s="9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9"/>
      <c r="O823" s="9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9"/>
      <c r="O824" s="9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9"/>
      <c r="O825" s="9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9"/>
      <c r="O826" s="9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9"/>
      <c r="O827" s="9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9"/>
      <c r="O828" s="9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9"/>
      <c r="O829" s="9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9"/>
      <c r="O830" s="9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9"/>
      <c r="O831" s="9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9"/>
      <c r="O832" s="9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9"/>
      <c r="O833" s="9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9"/>
      <c r="O834" s="9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9"/>
      <c r="O835" s="9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9"/>
      <c r="O836" s="9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9"/>
      <c r="O837" s="9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9"/>
      <c r="O838" s="9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9"/>
      <c r="O839" s="9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9"/>
      <c r="O840" s="9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9"/>
      <c r="O841" s="9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9"/>
      <c r="O842" s="9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9"/>
      <c r="O843" s="9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9"/>
      <c r="O844" s="9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9"/>
      <c r="O845" s="9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9"/>
      <c r="O846" s="9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9"/>
      <c r="O847" s="9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9"/>
      <c r="O848" s="9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9"/>
      <c r="O849" s="9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9"/>
      <c r="O850" s="9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9"/>
      <c r="O851" s="9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9"/>
      <c r="O852" s="9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9"/>
      <c r="O853" s="9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9"/>
      <c r="O854" s="9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9"/>
      <c r="O855" s="9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9"/>
      <c r="O856" s="9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9"/>
      <c r="O857" s="9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9"/>
      <c r="O858" s="9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9"/>
      <c r="O859" s="9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9"/>
      <c r="O860" s="9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9"/>
      <c r="O861" s="9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9"/>
      <c r="O862" s="9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9"/>
      <c r="O863" s="9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9"/>
      <c r="O864" s="9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9"/>
      <c r="O865" s="9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9"/>
      <c r="O866" s="9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9"/>
      <c r="O867" s="9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9"/>
      <c r="O868" s="9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9"/>
      <c r="O869" s="9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9"/>
      <c r="O870" s="9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9"/>
      <c r="O871" s="9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9"/>
      <c r="O872" s="9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9"/>
      <c r="O873" s="9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9"/>
      <c r="O874" s="9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9"/>
      <c r="O875" s="9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9"/>
      <c r="O876" s="9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9"/>
      <c r="O877" s="9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9"/>
      <c r="O878" s="9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9"/>
      <c r="O879" s="9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9"/>
      <c r="O880" s="9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9"/>
      <c r="O881" s="9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9"/>
      <c r="O882" s="9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9"/>
      <c r="O883" s="9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9"/>
      <c r="O884" s="9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9"/>
      <c r="O885" s="9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9"/>
      <c r="O886" s="9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9"/>
      <c r="O887" s="9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9"/>
      <c r="O888" s="9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9"/>
      <c r="O889" s="9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9"/>
      <c r="O890" s="9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9"/>
      <c r="O891" s="9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9"/>
      <c r="O892" s="9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9"/>
      <c r="O893" s="9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9"/>
      <c r="O894" s="9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9"/>
      <c r="O895" s="9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9"/>
      <c r="O896" s="9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9"/>
      <c r="O897" s="9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9"/>
      <c r="O898" s="9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9"/>
      <c r="O899" s="9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9"/>
      <c r="O900" s="9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9"/>
      <c r="O901" s="9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9"/>
      <c r="O902" s="9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9"/>
      <c r="O903" s="9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9"/>
      <c r="O904" s="9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9"/>
      <c r="O905" s="9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9"/>
      <c r="O906" s="9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9"/>
      <c r="O907" s="9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9"/>
      <c r="O908" s="9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9"/>
      <c r="O909" s="9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9"/>
      <c r="O910" s="9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9"/>
      <c r="O911" s="9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9"/>
      <c r="O912" s="9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9"/>
      <c r="O913" s="9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9"/>
      <c r="O914" s="9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9"/>
      <c r="O915" s="9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9"/>
      <c r="O916" s="9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9"/>
      <c r="O917" s="9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9"/>
      <c r="O918" s="9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9"/>
      <c r="O919" s="9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9"/>
      <c r="O920" s="9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9"/>
      <c r="O921" s="9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9"/>
      <c r="O922" s="9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9"/>
      <c r="O923" s="9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9"/>
      <c r="O924" s="9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9"/>
      <c r="O925" s="9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9"/>
      <c r="O926" s="9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9"/>
      <c r="O927" s="9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9"/>
      <c r="O928" s="9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9"/>
      <c r="O929" s="9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9"/>
      <c r="O930" s="9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9"/>
      <c r="O931" s="9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9"/>
      <c r="O932" s="9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9"/>
      <c r="O933" s="9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9"/>
      <c r="O934" s="9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9"/>
      <c r="O935" s="9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9"/>
      <c r="O936" s="9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9"/>
      <c r="O937" s="9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9"/>
      <c r="O938" s="9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9"/>
      <c r="O939" s="9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9"/>
      <c r="O940" s="9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9"/>
      <c r="O941" s="9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9"/>
      <c r="O942" s="9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9"/>
      <c r="O943" s="9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9"/>
      <c r="O944" s="9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9"/>
      <c r="O945" s="9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9"/>
      <c r="O946" s="9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9"/>
      <c r="O947" s="9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9"/>
      <c r="O948" s="9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9"/>
      <c r="O949" s="9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9"/>
      <c r="O950" s="9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9"/>
      <c r="O951" s="9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9"/>
      <c r="O952" s="9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9"/>
      <c r="O953" s="9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9"/>
      <c r="O954" s="9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9"/>
      <c r="O955" s="9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9"/>
      <c r="O956" s="9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9"/>
      <c r="O957" s="9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9"/>
      <c r="O958" s="9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9"/>
      <c r="O959" s="9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9"/>
      <c r="O960" s="9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9"/>
      <c r="O961" s="9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9"/>
      <c r="O962" s="9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9"/>
      <c r="O963" s="9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9"/>
      <c r="O964" s="9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9"/>
      <c r="O965" s="9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9"/>
      <c r="O966" s="9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9"/>
      <c r="O967" s="9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9"/>
      <c r="O968" s="9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9"/>
      <c r="O969" s="9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9"/>
      <c r="O970" s="9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9"/>
      <c r="O971" s="9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9"/>
      <c r="O972" s="9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9"/>
      <c r="O973" s="9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9"/>
      <c r="O974" s="9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9"/>
      <c r="O975" s="9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9"/>
      <c r="O976" s="9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9"/>
      <c r="O977" s="9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9"/>
      <c r="O978" s="9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9"/>
      <c r="O979" s="9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9"/>
      <c r="O980" s="9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9"/>
      <c r="O981" s="9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9"/>
      <c r="O982" s="9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9"/>
      <c r="O983" s="9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9"/>
      <c r="O984" s="9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9"/>
      <c r="O985" s="9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9"/>
      <c r="O986" s="9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9"/>
      <c r="O987" s="9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9"/>
      <c r="O988" s="9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9"/>
      <c r="O989" s="9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9"/>
      <c r="O990" s="9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9"/>
      <c r="O991" s="9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9"/>
      <c r="O992" s="9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9"/>
      <c r="O993" s="9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9"/>
      <c r="O994" s="9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9"/>
      <c r="O995" s="9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9"/>
      <c r="O996" s="9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9"/>
      <c r="O997" s="9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9"/>
      <c r="O998" s="9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9"/>
      <c r="O999" s="9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9"/>
      <c r="O1000" s="9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F44:J44"/>
    <mergeCell ref="K54:L54"/>
    <mergeCell ref="F18:J18"/>
    <mergeCell ref="N2:O2"/>
    <mergeCell ref="F5:J5"/>
    <mergeCell ref="K15:L15"/>
    <mergeCell ref="K28:L28"/>
    <mergeCell ref="K41:L41"/>
    <mergeCell ref="A25:B25"/>
    <mergeCell ref="F31:J31"/>
    <mergeCell ref="A2:A3"/>
    <mergeCell ref="C2:D2"/>
    <mergeCell ref="F2:J2"/>
  </mergeCells>
  <dataValidations count="1">
    <dataValidation type="decimal" allowBlank="1" showInputMessage="1" prompt="PLAZO DEL PRESTAMO - Digite un número entre 0 y 48 meses de Plazo" sqref="O5 B28" xr:uid="{00000000-0002-0000-0300-000000000000}">
      <formula1>0</formula1>
      <formula2>48</formula2>
    </dataValidation>
  </dataValidation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showGridLines="0" workbookViewId="0">
      <selection activeCell="C10" sqref="C10"/>
    </sheetView>
  </sheetViews>
  <sheetFormatPr baseColWidth="10" defaultColWidth="12.6328125" defaultRowHeight="15" customHeight="1" x14ac:dyDescent="0.25"/>
  <cols>
    <col min="1" max="1" width="31.08984375" customWidth="1"/>
    <col min="2" max="2" width="13" customWidth="1"/>
    <col min="3" max="3" width="14.08984375" customWidth="1"/>
    <col min="4" max="4" width="17.6328125" customWidth="1"/>
    <col min="5" max="5" width="14.6328125" customWidth="1"/>
    <col min="6" max="6" width="15.6328125" customWidth="1"/>
    <col min="7" max="7" width="14.26953125" customWidth="1"/>
    <col min="8" max="8" width="11.26953125" customWidth="1"/>
    <col min="9" max="11" width="9.08984375" customWidth="1"/>
    <col min="12" max="26" width="10" customWidth="1"/>
  </cols>
  <sheetData>
    <row r="1" spans="1:26" ht="15.75" customHeight="1" x14ac:dyDescent="0.35">
      <c r="A1" s="5"/>
      <c r="B1" s="5"/>
      <c r="C1" s="5"/>
      <c r="D1" s="5"/>
      <c r="E1" s="5"/>
      <c r="F1" s="5"/>
      <c r="G1" s="5"/>
      <c r="H1" s="4"/>
      <c r="I1" s="115"/>
      <c r="J1" s="115"/>
      <c r="K1" s="11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 x14ac:dyDescent="0.35">
      <c r="A2" s="375" t="s">
        <v>93</v>
      </c>
      <c r="B2" s="352"/>
      <c r="C2" s="352"/>
      <c r="D2" s="352"/>
      <c r="E2" s="352"/>
      <c r="F2" s="352"/>
      <c r="G2" s="343"/>
      <c r="H2" s="4"/>
      <c r="I2" s="115"/>
      <c r="J2" s="115"/>
      <c r="K2" s="11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5" x14ac:dyDescent="0.35">
      <c r="A3" s="124"/>
      <c r="B3" s="26"/>
      <c r="C3" s="26" t="s">
        <v>7</v>
      </c>
      <c r="D3" s="26" t="s">
        <v>10</v>
      </c>
      <c r="E3" s="26" t="s">
        <v>13</v>
      </c>
      <c r="F3" s="26" t="s">
        <v>15</v>
      </c>
      <c r="G3" s="30" t="s">
        <v>18</v>
      </c>
      <c r="H3" s="4"/>
      <c r="I3" s="115"/>
      <c r="J3" s="115"/>
      <c r="K3" s="1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5" x14ac:dyDescent="0.35">
      <c r="A4" s="126" t="s">
        <v>99</v>
      </c>
      <c r="B4" s="128"/>
      <c r="C4" s="64">
        <f>'Supuestos Ventas y Costos'!D12</f>
        <v>238381</v>
      </c>
      <c r="D4" s="64">
        <f>'Supuestos Ventas y Costos'!G12</f>
        <v>478228.96</v>
      </c>
      <c r="E4" s="64">
        <f>'Supuestos Ventas y Costos'!J12</f>
        <v>553043.92000000004</v>
      </c>
      <c r="F4" s="64">
        <f>'Supuestos Ventas y Costos'!M12</f>
        <v>637394.12</v>
      </c>
      <c r="G4" s="66">
        <f>'Supuestos Ventas y Costos'!P12</f>
        <v>734946.96</v>
      </c>
      <c r="H4" s="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5.5" x14ac:dyDescent="0.35">
      <c r="A5" s="32" t="s">
        <v>102</v>
      </c>
      <c r="B5" s="138"/>
      <c r="C5" s="52">
        <f>'Supuestos Ventas y Costos'!D36+'Supuestos Ventas y Costos'!B46</f>
        <v>737999.25</v>
      </c>
      <c r="D5" s="52">
        <f>'Supuestos Ventas y Costos'!G36+'Supuestos Ventas y Costos'!C46</f>
        <v>1296942.9028560002</v>
      </c>
      <c r="E5" s="52">
        <f>'Supuestos Ventas y Costos'!J36+'Supuestos Ventas y Costos'!D46</f>
        <v>1551266.5414001546</v>
      </c>
      <c r="F5" s="52">
        <f>'Supuestos Ventas y Costos'!M36+'Supuestos Ventas y Costos'!E46</f>
        <v>1856715.127989674</v>
      </c>
      <c r="G5" s="58">
        <f>'Supuestos Ventas y Costos'!P36+'Supuestos Ventas y Costos'!F46</f>
        <v>2229957.893433433</v>
      </c>
      <c r="H5" s="4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5.75" customHeight="1" x14ac:dyDescent="0.35">
      <c r="A6" s="147" t="s">
        <v>105</v>
      </c>
      <c r="B6" s="138"/>
      <c r="C6" s="64">
        <f t="shared" ref="C6:G6" si="0">C4-C5</f>
        <v>-499618.25</v>
      </c>
      <c r="D6" s="64">
        <f t="shared" si="0"/>
        <v>-818713.94285600027</v>
      </c>
      <c r="E6" s="64">
        <f t="shared" si="0"/>
        <v>-998222.62140015454</v>
      </c>
      <c r="F6" s="64">
        <f t="shared" si="0"/>
        <v>-1219321.0079896739</v>
      </c>
      <c r="G6" s="66">
        <f t="shared" si="0"/>
        <v>-1495010.9334334331</v>
      </c>
      <c r="H6" s="151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spans="1:26" ht="15.5" x14ac:dyDescent="0.35">
      <c r="A7" s="126" t="s">
        <v>109</v>
      </c>
      <c r="B7" s="128"/>
      <c r="C7" s="52">
        <f>'Supuestos Ventas y Costos'!B60</f>
        <v>16017.619999999999</v>
      </c>
      <c r="D7" s="52">
        <f>'Supuestos Ventas y Costos'!C60</f>
        <v>23081.627466666669</v>
      </c>
      <c r="E7" s="52">
        <f>'Supuestos Ventas y Costos'!D60</f>
        <v>26372.618266666668</v>
      </c>
      <c r="F7" s="52">
        <f>'Supuestos Ventas y Costos'!E60</f>
        <v>30135.205933333335</v>
      </c>
      <c r="G7" s="58">
        <f>'Supuestos Ventas y Costos'!F60</f>
        <v>34473.8508</v>
      </c>
      <c r="H7" s="4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15.5" x14ac:dyDescent="0.35">
      <c r="A8" s="126" t="s">
        <v>111</v>
      </c>
      <c r="B8" s="128"/>
      <c r="C8" s="52">
        <f>'Supuestos Ventas y Costos'!B61</f>
        <v>43800</v>
      </c>
      <c r="D8" s="52">
        <f>'Supuestos Ventas y Costos'!C61</f>
        <v>52843.043999999994</v>
      </c>
      <c r="E8" s="52">
        <f>'Supuestos Ventas y Costos'!D61</f>
        <v>55734.76720799999</v>
      </c>
      <c r="F8" s="52">
        <f>'Supuestos Ventas y Costos'!E61</f>
        <v>58784.89700212318</v>
      </c>
      <c r="G8" s="58">
        <f>'Supuestos Ventas y Costos'!F61</f>
        <v>62002.163345240784</v>
      </c>
      <c r="H8" s="4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15.5" x14ac:dyDescent="0.35">
      <c r="A9" s="126" t="s">
        <v>114</v>
      </c>
      <c r="B9" s="128"/>
      <c r="C9" s="52">
        <f>'Supuestos Ventas y Costos'!B67</f>
        <v>0</v>
      </c>
      <c r="D9" s="52">
        <f>'Supuestos Ventas y Costos'!C67</f>
        <v>0</v>
      </c>
      <c r="E9" s="52">
        <f>'Supuestos Ventas y Costos'!D67</f>
        <v>0</v>
      </c>
      <c r="F9" s="52">
        <f>'Supuestos Ventas y Costos'!E67</f>
        <v>0</v>
      </c>
      <c r="G9" s="58">
        <f>'Supuestos Ventas y Costos'!F67</f>
        <v>0</v>
      </c>
      <c r="H9" s="4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15.5" x14ac:dyDescent="0.35">
      <c r="A10" s="126" t="s">
        <v>116</v>
      </c>
      <c r="B10" s="128"/>
      <c r="C10" s="52">
        <f>+BALANCES!C33</f>
        <v>300</v>
      </c>
      <c r="D10" s="52">
        <f t="shared" ref="D10:G10" si="1">+C10</f>
        <v>300</v>
      </c>
      <c r="E10" s="52">
        <f t="shared" si="1"/>
        <v>300</v>
      </c>
      <c r="F10" s="52">
        <f t="shared" si="1"/>
        <v>300</v>
      </c>
      <c r="G10" s="52">
        <f t="shared" si="1"/>
        <v>300</v>
      </c>
      <c r="H10" s="4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t="15.75" customHeight="1" x14ac:dyDescent="0.35">
      <c r="A11" s="177" t="s">
        <v>119</v>
      </c>
      <c r="B11" s="138"/>
      <c r="C11" s="64">
        <f t="shared" ref="C11:G11" si="2">SUM(C7:C10)</f>
        <v>60117.619999999995</v>
      </c>
      <c r="D11" s="64">
        <f t="shared" si="2"/>
        <v>76224.671466666667</v>
      </c>
      <c r="E11" s="64">
        <f t="shared" si="2"/>
        <v>82407.385474666662</v>
      </c>
      <c r="F11" s="64">
        <f t="shared" si="2"/>
        <v>89220.102935456511</v>
      </c>
      <c r="G11" s="64">
        <f t="shared" si="2"/>
        <v>96776.014145240784</v>
      </c>
      <c r="H11" s="151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spans="1:26" ht="15.75" customHeight="1" x14ac:dyDescent="0.35">
      <c r="A12" s="179"/>
      <c r="B12" s="64"/>
      <c r="C12" s="64"/>
      <c r="D12" s="64"/>
      <c r="E12" s="64"/>
      <c r="F12" s="64"/>
      <c r="G12" s="66"/>
      <c r="H12" s="151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spans="1:26" ht="15.75" customHeight="1" x14ac:dyDescent="0.35">
      <c r="A13" s="179" t="s">
        <v>120</v>
      </c>
      <c r="B13" s="64"/>
      <c r="C13" s="64">
        <f t="shared" ref="C13:G13" si="3">+C6-C11</f>
        <v>-559735.87</v>
      </c>
      <c r="D13" s="64">
        <f t="shared" si="3"/>
        <v>-894938.61432266689</v>
      </c>
      <c r="E13" s="64">
        <f t="shared" si="3"/>
        <v>-1080630.0068748211</v>
      </c>
      <c r="F13" s="64">
        <f t="shared" si="3"/>
        <v>-1308541.1109251303</v>
      </c>
      <c r="G13" s="66">
        <f t="shared" si="3"/>
        <v>-1591786.9475786739</v>
      </c>
      <c r="H13" s="151"/>
      <c r="I13" s="153"/>
      <c r="J13" s="153"/>
      <c r="K13" s="153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spans="1:26" ht="15.5" x14ac:dyDescent="0.35">
      <c r="A14" s="126" t="s">
        <v>121</v>
      </c>
      <c r="B14" s="190"/>
      <c r="C14" s="52">
        <f>'Supuestos de Inversión'!K17</f>
        <v>0</v>
      </c>
      <c r="D14" s="52">
        <f>'Supuestos de Inversión'!K30</f>
        <v>0</v>
      </c>
      <c r="E14" s="52">
        <f>'Supuestos de Inversión'!K43</f>
        <v>0</v>
      </c>
      <c r="F14" s="52">
        <f>'Supuestos de Inversión'!K56</f>
        <v>0</v>
      </c>
      <c r="G14" s="58"/>
      <c r="H14" s="4"/>
      <c r="I14" s="115"/>
      <c r="J14" s="115"/>
      <c r="K14" s="11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5">
      <c r="A15" s="179" t="s">
        <v>123</v>
      </c>
      <c r="B15" s="64"/>
      <c r="C15" s="52">
        <f t="shared" ref="C15:G15" si="4">C13-C14</f>
        <v>-559735.87</v>
      </c>
      <c r="D15" s="52">
        <f t="shared" si="4"/>
        <v>-894938.61432266689</v>
      </c>
      <c r="E15" s="52">
        <f t="shared" si="4"/>
        <v>-1080630.0068748211</v>
      </c>
      <c r="F15" s="52">
        <f t="shared" si="4"/>
        <v>-1308541.1109251303</v>
      </c>
      <c r="G15" s="58">
        <f t="shared" si="4"/>
        <v>-1591786.9475786739</v>
      </c>
      <c r="H15" s="151"/>
      <c r="I15" s="153"/>
      <c r="J15" s="153"/>
      <c r="K15" s="153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spans="1:26" ht="15.5" x14ac:dyDescent="0.35">
      <c r="A16" s="126" t="s">
        <v>124</v>
      </c>
      <c r="B16" s="190"/>
      <c r="C16" s="52">
        <f t="shared" ref="C16:G16" si="5">C15*30%</f>
        <v>-167920.761</v>
      </c>
      <c r="D16" s="52">
        <f t="shared" si="5"/>
        <v>-268481.58429680008</v>
      </c>
      <c r="E16" s="52">
        <f t="shared" si="5"/>
        <v>-324189.00206244632</v>
      </c>
      <c r="F16" s="52">
        <f t="shared" si="5"/>
        <v>-392562.33327753906</v>
      </c>
      <c r="G16" s="58">
        <f t="shared" si="5"/>
        <v>-477536.08427360217</v>
      </c>
      <c r="H16" s="4"/>
      <c r="I16" s="115"/>
      <c r="J16" s="115"/>
      <c r="K16" s="11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.5" customHeight="1" x14ac:dyDescent="0.35">
      <c r="A17" s="179" t="s">
        <v>125</v>
      </c>
      <c r="B17" s="64"/>
      <c r="C17" s="64">
        <f t="shared" ref="C17:G17" si="6">C15-C16</f>
        <v>-391815.109</v>
      </c>
      <c r="D17" s="64">
        <f t="shared" si="6"/>
        <v>-626457.03002586681</v>
      </c>
      <c r="E17" s="64">
        <f t="shared" si="6"/>
        <v>-756441.00481237483</v>
      </c>
      <c r="F17" s="64">
        <f t="shared" si="6"/>
        <v>-915978.7776475912</v>
      </c>
      <c r="G17" s="66">
        <f t="shared" si="6"/>
        <v>-1114250.8633050718</v>
      </c>
      <c r="H17" s="151"/>
      <c r="I17" s="153"/>
      <c r="J17" s="153"/>
      <c r="K17" s="153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spans="1:26" ht="15.75" customHeight="1" x14ac:dyDescent="0.35">
      <c r="A18" s="151"/>
      <c r="B18" s="151"/>
      <c r="C18" s="151"/>
      <c r="D18" s="151"/>
      <c r="E18" s="151"/>
      <c r="F18" s="151"/>
      <c r="G18" s="151"/>
      <c r="H18" s="151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spans="1:26" ht="15.75" customHeight="1" x14ac:dyDescent="0.35">
      <c r="A19" s="145"/>
      <c r="B19" s="151"/>
      <c r="C19" s="145"/>
      <c r="D19" s="219"/>
      <c r="E19" s="151"/>
      <c r="F19" s="219"/>
      <c r="G19" s="129"/>
      <c r="H19" s="151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spans="1:26" ht="15.75" customHeight="1" x14ac:dyDescent="0.35">
      <c r="A20" s="4"/>
      <c r="B20" s="4"/>
      <c r="C20" s="4"/>
      <c r="D20" s="4"/>
      <c r="E20" s="4"/>
      <c r="F20" s="4"/>
      <c r="G20" s="4"/>
      <c r="H20" s="4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t="18" customHeight="1" x14ac:dyDescent="0.35">
      <c r="A21" s="375" t="s">
        <v>130</v>
      </c>
      <c r="B21" s="352"/>
      <c r="C21" s="352"/>
      <c r="D21" s="352"/>
      <c r="E21" s="352"/>
      <c r="F21" s="352"/>
      <c r="G21" s="343"/>
      <c r="H21" s="4"/>
      <c r="I21" s="115"/>
      <c r="J21" s="115"/>
      <c r="K21" s="11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223"/>
      <c r="B22" s="224" t="s">
        <v>131</v>
      </c>
      <c r="C22" s="224" t="s">
        <v>91</v>
      </c>
      <c r="D22" s="224" t="s">
        <v>110</v>
      </c>
      <c r="E22" s="224" t="s">
        <v>122</v>
      </c>
      <c r="F22" s="224" t="s">
        <v>128</v>
      </c>
      <c r="G22" s="226" t="s">
        <v>132</v>
      </c>
      <c r="H22" s="4"/>
      <c r="I22" s="115"/>
      <c r="J22" s="115"/>
      <c r="K22" s="11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88" t="s">
        <v>134</v>
      </c>
      <c r="B23" s="132"/>
      <c r="C23" s="52">
        <f t="shared" ref="C23:G23" si="7">C17</f>
        <v>-391815.109</v>
      </c>
      <c r="D23" s="60">
        <f t="shared" si="7"/>
        <v>-626457.03002586681</v>
      </c>
      <c r="E23" s="60">
        <f t="shared" si="7"/>
        <v>-756441.00481237483</v>
      </c>
      <c r="F23" s="60">
        <f t="shared" si="7"/>
        <v>-915978.7776475912</v>
      </c>
      <c r="G23" s="62">
        <f t="shared" si="7"/>
        <v>-1114250.8633050718</v>
      </c>
      <c r="H23" s="4"/>
      <c r="I23" s="115"/>
      <c r="J23" s="115"/>
      <c r="K23" s="11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88" t="s">
        <v>114</v>
      </c>
      <c r="B24" s="132"/>
      <c r="C24" s="60">
        <f t="shared" ref="C24:G24" si="8">C9</f>
        <v>0</v>
      </c>
      <c r="D24" s="60">
        <f t="shared" si="8"/>
        <v>0</v>
      </c>
      <c r="E24" s="60">
        <f t="shared" si="8"/>
        <v>0</v>
      </c>
      <c r="F24" s="60">
        <f t="shared" si="8"/>
        <v>0</v>
      </c>
      <c r="G24" s="62">
        <f t="shared" si="8"/>
        <v>0</v>
      </c>
      <c r="H24" s="4"/>
      <c r="I24" s="115"/>
      <c r="J24" s="115"/>
      <c r="K24" s="11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88" t="s">
        <v>137</v>
      </c>
      <c r="B25" s="132"/>
      <c r="C25" s="60">
        <f>'Supuestos de Inversión'!L17</f>
        <v>0</v>
      </c>
      <c r="D25" s="60">
        <f>'Supuestos de Inversión'!L30</f>
        <v>0</v>
      </c>
      <c r="E25" s="60">
        <f>'Supuestos de Inversión'!L43</f>
        <v>0</v>
      </c>
      <c r="F25" s="60">
        <f>'Supuestos de Inversión'!L56</f>
        <v>0</v>
      </c>
      <c r="G25" s="62"/>
      <c r="H25" s="4"/>
      <c r="I25" s="115"/>
      <c r="J25" s="115"/>
      <c r="K25" s="11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88" t="s">
        <v>130</v>
      </c>
      <c r="B26" s="233">
        <f>-'Supuestos de Inversión'!B19</f>
        <v>-111318.26916666668</v>
      </c>
      <c r="C26" s="60">
        <f t="shared" ref="C26:G26" si="9">C23+C24-C25</f>
        <v>-391815.109</v>
      </c>
      <c r="D26" s="60">
        <f t="shared" si="9"/>
        <v>-626457.03002586681</v>
      </c>
      <c r="E26" s="60">
        <f t="shared" si="9"/>
        <v>-756441.00481237483</v>
      </c>
      <c r="F26" s="60">
        <f t="shared" si="9"/>
        <v>-915978.7776475912</v>
      </c>
      <c r="G26" s="62">
        <f t="shared" si="9"/>
        <v>-1114250.8633050718</v>
      </c>
      <c r="H26" s="4"/>
      <c r="I26" s="115"/>
      <c r="J26" s="115"/>
      <c r="K26" s="11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88" t="s">
        <v>142</v>
      </c>
      <c r="B27" s="242">
        <f t="array" ref="B27">NPV(0.18,C26:G26)+B26</f>
        <v>-2313170.990406937</v>
      </c>
      <c r="C27" s="243"/>
      <c r="D27" s="243"/>
      <c r="E27" s="243"/>
      <c r="F27" s="243"/>
      <c r="G27" s="244"/>
      <c r="H27" s="4"/>
      <c r="I27" s="115"/>
      <c r="J27" s="115"/>
      <c r="K27" s="11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88" t="s">
        <v>144</v>
      </c>
      <c r="B28" s="245" t="e">
        <f>IRR(B26:G26)</f>
        <v>#NUM!</v>
      </c>
      <c r="C28" s="243"/>
      <c r="D28" s="243"/>
      <c r="E28" s="243"/>
      <c r="F28" s="243"/>
      <c r="G28" s="244"/>
      <c r="H28" s="4"/>
      <c r="I28" s="115"/>
      <c r="J28" s="115"/>
      <c r="K28" s="11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104" t="s">
        <v>145</v>
      </c>
      <c r="B29" s="246">
        <v>0.18</v>
      </c>
      <c r="C29" s="247"/>
      <c r="D29" s="247"/>
      <c r="E29" s="247"/>
      <c r="F29" s="247"/>
      <c r="G29" s="248"/>
      <c r="H29" s="4"/>
      <c r="I29" s="115"/>
      <c r="J29" s="115"/>
      <c r="K29" s="11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10"/>
      <c r="B30" s="129"/>
      <c r="C30" s="377" t="s">
        <v>146</v>
      </c>
      <c r="D30" s="378"/>
      <c r="E30" s="378"/>
      <c r="F30" s="378"/>
      <c r="G30" s="379"/>
      <c r="H30" s="4"/>
      <c r="I30" s="115"/>
      <c r="J30" s="115"/>
      <c r="K30" s="11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10"/>
      <c r="B31" s="251"/>
      <c r="C31" s="252" t="s">
        <v>7</v>
      </c>
      <c r="D31" s="253" t="s">
        <v>110</v>
      </c>
      <c r="E31" s="253" t="s">
        <v>122</v>
      </c>
      <c r="F31" s="253" t="s">
        <v>128</v>
      </c>
      <c r="G31" s="254" t="s">
        <v>132</v>
      </c>
      <c r="H31" s="4"/>
      <c r="I31" s="115"/>
      <c r="J31" s="115"/>
      <c r="K31" s="11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4"/>
      <c r="B32" s="4" t="s">
        <v>148</v>
      </c>
      <c r="C32" s="257">
        <f>1+B29</f>
        <v>1.18</v>
      </c>
      <c r="D32" s="257">
        <f t="shared" ref="D32:G32" si="10">C32*$C$32</f>
        <v>1.3923999999999999</v>
      </c>
      <c r="E32" s="257">
        <f t="shared" si="10"/>
        <v>1.6430319999999998</v>
      </c>
      <c r="F32" s="257">
        <f t="shared" si="10"/>
        <v>1.9387777599999998</v>
      </c>
      <c r="G32" s="257">
        <f t="shared" si="10"/>
        <v>2.2877577567999996</v>
      </c>
      <c r="H32" s="4"/>
      <c r="I32" s="115"/>
      <c r="J32" s="115"/>
      <c r="K32" s="11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4"/>
      <c r="B33" s="4"/>
      <c r="C33" s="380" t="s">
        <v>151</v>
      </c>
      <c r="D33" s="360"/>
      <c r="E33" s="360"/>
      <c r="F33" s="360"/>
      <c r="G33" s="361"/>
      <c r="H33" s="4"/>
      <c r="I33" s="115"/>
      <c r="J33" s="115"/>
      <c r="K33" s="11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9.5" customHeight="1" x14ac:dyDescent="0.35">
      <c r="A34" s="4"/>
      <c r="B34" s="4"/>
      <c r="C34" s="243">
        <v>1</v>
      </c>
      <c r="D34" s="243">
        <v>2</v>
      </c>
      <c r="E34" s="243">
        <v>3</v>
      </c>
      <c r="F34" s="243">
        <v>4</v>
      </c>
      <c r="G34" s="243">
        <v>5</v>
      </c>
      <c r="H34" s="4"/>
      <c r="I34" s="115"/>
      <c r="J34" s="115"/>
      <c r="K34" s="11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5">
      <c r="A35" s="262" t="s">
        <v>153</v>
      </c>
      <c r="B35" s="263">
        <f>SUM(C35:G35)/-B26</f>
        <v>-19.779796593348369</v>
      </c>
      <c r="C35" s="266">
        <f t="shared" ref="C35:G35" si="11">C26/C32</f>
        <v>-332046.70254237292</v>
      </c>
      <c r="D35" s="266">
        <f t="shared" si="11"/>
        <v>-449911.68487924943</v>
      </c>
      <c r="E35" s="266">
        <f t="shared" si="11"/>
        <v>-460393.34888935514</v>
      </c>
      <c r="F35" s="266">
        <f t="shared" si="11"/>
        <v>-472451.66338590108</v>
      </c>
      <c r="G35" s="266">
        <f t="shared" si="11"/>
        <v>-487049.32154339185</v>
      </c>
      <c r="H35" s="4"/>
      <c r="I35" s="115"/>
      <c r="J35" s="115"/>
      <c r="K35" s="11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5" customHeight="1" x14ac:dyDescent="0.35">
      <c r="A36" s="262" t="s">
        <v>155</v>
      </c>
      <c r="B36" s="270"/>
      <c r="C36" s="266">
        <f>B26+C35</f>
        <v>-443364.97170903959</v>
      </c>
      <c r="D36" s="266">
        <f t="shared" ref="D36:G36" si="12">D35+C36</f>
        <v>-893276.65658828896</v>
      </c>
      <c r="E36" s="266">
        <f t="shared" si="12"/>
        <v>-1353670.005477644</v>
      </c>
      <c r="F36" s="266">
        <f t="shared" si="12"/>
        <v>-1826121.6688635452</v>
      </c>
      <c r="G36" s="266">
        <f t="shared" si="12"/>
        <v>-2313170.990406937</v>
      </c>
      <c r="H36" s="4"/>
      <c r="I36" s="115"/>
      <c r="J36" s="115"/>
      <c r="K36" s="11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4"/>
      <c r="B37" s="275"/>
      <c r="C37" s="275"/>
      <c r="D37" s="277"/>
      <c r="E37" s="4"/>
      <c r="F37" s="4"/>
      <c r="G37" s="4"/>
      <c r="H37" s="4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35">
      <c r="A38" s="4"/>
      <c r="B38" s="4"/>
      <c r="C38" s="4"/>
      <c r="D38" s="4"/>
      <c r="E38" s="4"/>
      <c r="F38" s="4"/>
      <c r="G38" s="4"/>
      <c r="H38" s="4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spans="1:26" ht="19.5" customHeight="1" x14ac:dyDescent="0.35">
      <c r="A39" s="351" t="s">
        <v>160</v>
      </c>
      <c r="B39" s="352"/>
      <c r="C39" s="352"/>
      <c r="D39" s="352"/>
      <c r="E39" s="352"/>
      <c r="F39" s="343"/>
      <c r="G39" s="4"/>
      <c r="H39" s="281"/>
      <c r="I39" s="115"/>
      <c r="J39" s="115"/>
      <c r="K39" s="11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5">
      <c r="A40" s="283"/>
      <c r="B40" s="41" t="s">
        <v>91</v>
      </c>
      <c r="C40" s="41" t="s">
        <v>110</v>
      </c>
      <c r="D40" s="41" t="s">
        <v>122</v>
      </c>
      <c r="E40" s="41" t="s">
        <v>128</v>
      </c>
      <c r="F40" s="285" t="s">
        <v>132</v>
      </c>
      <c r="G40" s="286"/>
      <c r="H40" s="287"/>
      <c r="I40" s="288"/>
      <c r="J40" s="115"/>
      <c r="K40" s="11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 x14ac:dyDescent="0.35">
      <c r="A41" s="53" t="s">
        <v>162</v>
      </c>
      <c r="B41" s="289">
        <f t="shared" ref="B41:F41" si="13">C17/C4</f>
        <v>-1.6436507481720439</v>
      </c>
      <c r="C41" s="289">
        <f t="shared" si="13"/>
        <v>-1.3099520991490494</v>
      </c>
      <c r="D41" s="289">
        <f t="shared" si="13"/>
        <v>-1.3677774539359817</v>
      </c>
      <c r="E41" s="290">
        <f t="shared" si="13"/>
        <v>-1.4370681324258077</v>
      </c>
      <c r="F41" s="291">
        <f t="shared" si="13"/>
        <v>-1.5160969756308291</v>
      </c>
      <c r="G41" s="4"/>
      <c r="H41" s="292"/>
      <c r="I41" s="288"/>
      <c r="J41" s="115"/>
      <c r="K41" s="11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7.25" customHeight="1" x14ac:dyDescent="0.35">
      <c r="A42" s="294" t="s">
        <v>163</v>
      </c>
      <c r="B42" s="295">
        <f t="shared" ref="B42:F42" si="14">C17/-$B$26</f>
        <v>-3.5197736358384355</v>
      </c>
      <c r="C42" s="295">
        <f t="shared" si="14"/>
        <v>-5.6276210070058665</v>
      </c>
      <c r="D42" s="295">
        <f t="shared" si="14"/>
        <v>-6.7952997335938159</v>
      </c>
      <c r="E42" s="295">
        <f t="shared" si="14"/>
        <v>-8.2284676585851315</v>
      </c>
      <c r="F42" s="296">
        <f t="shared" si="14"/>
        <v>-10.009595654391696</v>
      </c>
      <c r="G42" s="4"/>
      <c r="H42" s="287"/>
      <c r="I42" s="115"/>
      <c r="J42" s="115"/>
      <c r="K42" s="11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4"/>
      <c r="B43" s="4"/>
      <c r="C43" s="297"/>
      <c r="D43" s="297"/>
      <c r="E43" s="297"/>
      <c r="F43" s="297"/>
      <c r="G43" s="4"/>
      <c r="H43" s="4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5.75" customHeight="1" x14ac:dyDescent="0.35">
      <c r="A44" s="4"/>
      <c r="B44" s="4"/>
      <c r="C44" s="297"/>
      <c r="D44" s="297"/>
      <c r="E44" s="297"/>
      <c r="F44" s="297"/>
      <c r="G44" s="297"/>
      <c r="H44" s="4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5.75" customHeight="1" x14ac:dyDescent="0.35">
      <c r="A45" s="4"/>
      <c r="B45" s="4"/>
      <c r="C45" s="297"/>
      <c r="D45" s="297"/>
      <c r="E45" s="297"/>
      <c r="F45" s="297"/>
      <c r="G45" s="4"/>
      <c r="H45" s="4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5.75" customHeight="1" x14ac:dyDescent="0.35">
      <c r="A46" s="351" t="s">
        <v>167</v>
      </c>
      <c r="B46" s="352"/>
      <c r="C46" s="352"/>
      <c r="D46" s="352"/>
      <c r="E46" s="352"/>
      <c r="F46" s="352"/>
      <c r="G46" s="343"/>
      <c r="H46" s="4"/>
      <c r="I46" s="301"/>
      <c r="J46" s="115"/>
      <c r="K46" s="11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141" t="s">
        <v>168</v>
      </c>
      <c r="B47" s="303"/>
      <c r="C47" s="304" t="s">
        <v>7</v>
      </c>
      <c r="D47" s="304" t="s">
        <v>10</v>
      </c>
      <c r="E47" s="304" t="s">
        <v>13</v>
      </c>
      <c r="F47" s="304" t="s">
        <v>15</v>
      </c>
      <c r="G47" s="305" t="s">
        <v>18</v>
      </c>
      <c r="H47" s="4"/>
      <c r="I47" s="115"/>
      <c r="J47" s="115"/>
      <c r="K47" s="11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53" t="s">
        <v>169</v>
      </c>
      <c r="B48" s="128"/>
      <c r="C48" s="289">
        <f t="shared" ref="C48:G48" si="15">C49/C4</f>
        <v>-0.64075928391897941</v>
      </c>
      <c r="D48" s="289">
        <f t="shared" si="15"/>
        <v>-0.15515630552697421</v>
      </c>
      <c r="E48" s="289">
        <f t="shared" si="15"/>
        <v>-7.2596692108153046E-2</v>
      </c>
      <c r="F48" s="289">
        <f t="shared" si="15"/>
        <v>-7.9396994404511631E-3</v>
      </c>
      <c r="G48" s="307">
        <f t="shared" si="15"/>
        <v>4.4232850167717733E-2</v>
      </c>
      <c r="H48" s="4"/>
      <c r="I48" s="115"/>
      <c r="J48" s="115"/>
      <c r="K48" s="11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53" t="s">
        <v>171</v>
      </c>
      <c r="B49" s="128"/>
      <c r="C49" s="52">
        <f t="shared" ref="C49:G49" si="16">(C53/(1-(C61/C50)))</f>
        <v>-152744.83885989024</v>
      </c>
      <c r="D49" s="52">
        <f t="shared" si="16"/>
        <v>-74200.238629607134</v>
      </c>
      <c r="E49" s="52">
        <f t="shared" si="16"/>
        <v>-40149.159182526026</v>
      </c>
      <c r="F49" s="52">
        <f t="shared" si="16"/>
        <v>-5060.7177379108616</v>
      </c>
      <c r="G49" s="58">
        <f t="shared" si="16"/>
        <v>32508.798762899638</v>
      </c>
      <c r="H49" s="4"/>
      <c r="I49" s="115"/>
      <c r="J49" s="115"/>
      <c r="K49" s="11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63" t="s">
        <v>172</v>
      </c>
      <c r="B50" s="128"/>
      <c r="C50" s="64">
        <f t="shared" ref="C50:G50" si="17">C4</f>
        <v>238381</v>
      </c>
      <c r="D50" s="64">
        <f t="shared" si="17"/>
        <v>478228.96</v>
      </c>
      <c r="E50" s="64">
        <f t="shared" si="17"/>
        <v>553043.92000000004</v>
      </c>
      <c r="F50" s="64">
        <f t="shared" si="17"/>
        <v>637394.12</v>
      </c>
      <c r="G50" s="66">
        <f t="shared" si="17"/>
        <v>734946.96</v>
      </c>
      <c r="H50" s="4"/>
      <c r="I50" s="115"/>
      <c r="J50" s="115"/>
      <c r="K50" s="11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63"/>
      <c r="B51" s="128"/>
      <c r="C51" s="309"/>
      <c r="D51" s="309"/>
      <c r="E51" s="309"/>
      <c r="F51" s="309"/>
      <c r="G51" s="310"/>
      <c r="H51" s="4"/>
      <c r="I51" s="115"/>
      <c r="J51" s="115"/>
      <c r="K51" s="11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63" t="s">
        <v>169</v>
      </c>
      <c r="B52" s="128"/>
      <c r="C52" s="289">
        <f t="shared" ref="C52:G52" si="18">C53/C50</f>
        <v>0.6413970031168591</v>
      </c>
      <c r="D52" s="289">
        <f t="shared" si="18"/>
        <v>0.17586364315926539</v>
      </c>
      <c r="E52" s="289">
        <f t="shared" si="18"/>
        <v>9.2538732569775489E-2</v>
      </c>
      <c r="F52" s="289">
        <f t="shared" si="18"/>
        <v>1.1316304044219006E-2</v>
      </c>
      <c r="G52" s="307">
        <f t="shared" si="18"/>
        <v>-7.0145991988811413E-2</v>
      </c>
      <c r="H52" s="4"/>
      <c r="I52" s="115"/>
      <c r="J52" s="115"/>
      <c r="K52" s="11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63" t="s">
        <v>173</v>
      </c>
      <c r="B53" s="128"/>
      <c r="C53" s="64">
        <f t="shared" ref="C53:G53" si="19">SUM(C54:C59)</f>
        <v>152896.859</v>
      </c>
      <c r="D53" s="64">
        <f t="shared" si="19"/>
        <v>84103.087169866601</v>
      </c>
      <c r="E53" s="64">
        <f t="shared" si="19"/>
        <v>51177.983412220317</v>
      </c>
      <c r="F53" s="64">
        <f t="shared" si="19"/>
        <v>7212.9456579174148</v>
      </c>
      <c r="G53" s="66">
        <f t="shared" si="19"/>
        <v>-51553.583568361297</v>
      </c>
      <c r="H53" s="4"/>
      <c r="I53" s="115"/>
      <c r="J53" s="115"/>
      <c r="K53" s="11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53" t="s">
        <v>174</v>
      </c>
      <c r="B54" s="128"/>
      <c r="C54" s="52">
        <f>'Supuestos Ventas y Costos'!B46</f>
        <v>261000</v>
      </c>
      <c r="D54" s="52">
        <f>'Supuestos Ventas y Costos'!C46</f>
        <v>276660</v>
      </c>
      <c r="E54" s="52">
        <f>'Supuestos Ventas y Costos'!D46</f>
        <v>293259.59999999998</v>
      </c>
      <c r="F54" s="52">
        <f>'Supuestos Ventas y Costos'!E46</f>
        <v>310855.17599999998</v>
      </c>
      <c r="G54" s="58">
        <f>'Supuestos Ventas y Costos'!F46</f>
        <v>329506.48656000011</v>
      </c>
      <c r="H54" s="4"/>
      <c r="I54" s="115"/>
      <c r="J54" s="115"/>
      <c r="K54" s="11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53" t="str">
        <f t="shared" ref="A55:A57" si="20">A7</f>
        <v>Gastos Generales (sin depreciación)</v>
      </c>
      <c r="B55" s="128"/>
      <c r="C55" s="52">
        <f t="shared" ref="C55:G55" si="21">C7</f>
        <v>16017.619999999999</v>
      </c>
      <c r="D55" s="52">
        <f t="shared" si="21"/>
        <v>23081.627466666669</v>
      </c>
      <c r="E55" s="52">
        <f t="shared" si="21"/>
        <v>26372.618266666668</v>
      </c>
      <c r="F55" s="52">
        <f t="shared" si="21"/>
        <v>30135.205933333335</v>
      </c>
      <c r="G55" s="58">
        <f t="shared" si="21"/>
        <v>34473.8508</v>
      </c>
      <c r="H55" s="4"/>
      <c r="I55" s="115"/>
      <c r="J55" s="115"/>
      <c r="K55" s="11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53" t="str">
        <f t="shared" si="20"/>
        <v>Gastos Administración</v>
      </c>
      <c r="B56" s="128"/>
      <c r="C56" s="52">
        <f t="shared" ref="C56:G56" si="22">C8</f>
        <v>43800</v>
      </c>
      <c r="D56" s="52">
        <f t="shared" si="22"/>
        <v>52843.043999999994</v>
      </c>
      <c r="E56" s="52">
        <f t="shared" si="22"/>
        <v>55734.76720799999</v>
      </c>
      <c r="F56" s="52">
        <f t="shared" si="22"/>
        <v>58784.89700212318</v>
      </c>
      <c r="G56" s="58">
        <f t="shared" si="22"/>
        <v>62002.163345240784</v>
      </c>
      <c r="H56" s="4"/>
      <c r="I56" s="115"/>
      <c r="J56" s="115"/>
      <c r="K56" s="11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53" t="str">
        <f t="shared" si="20"/>
        <v>Depreciación</v>
      </c>
      <c r="B57" s="128"/>
      <c r="C57" s="52">
        <f t="shared" ref="C57:G57" si="23">C9</f>
        <v>0</v>
      </c>
      <c r="D57" s="52">
        <f t="shared" si="23"/>
        <v>0</v>
      </c>
      <c r="E57" s="52">
        <f t="shared" si="23"/>
        <v>0</v>
      </c>
      <c r="F57" s="52">
        <f t="shared" si="23"/>
        <v>0</v>
      </c>
      <c r="G57" s="58">
        <f t="shared" si="23"/>
        <v>0</v>
      </c>
      <c r="H57" s="4"/>
      <c r="I57" s="115"/>
      <c r="J57" s="115"/>
      <c r="K57" s="11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53" t="str">
        <f>A14</f>
        <v>Intereses pagados</v>
      </c>
      <c r="B58" s="128"/>
      <c r="C58" s="52">
        <f t="shared" ref="C58:G58" si="24">C14</f>
        <v>0</v>
      </c>
      <c r="D58" s="52">
        <f t="shared" si="24"/>
        <v>0</v>
      </c>
      <c r="E58" s="52">
        <f t="shared" si="24"/>
        <v>0</v>
      </c>
      <c r="F58" s="52">
        <f t="shared" si="24"/>
        <v>0</v>
      </c>
      <c r="G58" s="58">
        <f t="shared" si="24"/>
        <v>0</v>
      </c>
      <c r="H58" s="4"/>
      <c r="I58" s="115"/>
      <c r="J58" s="115"/>
      <c r="K58" s="11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53" t="s">
        <v>175</v>
      </c>
      <c r="B59" s="128"/>
      <c r="C59" s="52">
        <f t="shared" ref="C59:G59" si="25">C16</f>
        <v>-167920.761</v>
      </c>
      <c r="D59" s="52">
        <f t="shared" si="25"/>
        <v>-268481.58429680008</v>
      </c>
      <c r="E59" s="52">
        <f t="shared" si="25"/>
        <v>-324189.00206244632</v>
      </c>
      <c r="F59" s="52">
        <f t="shared" si="25"/>
        <v>-392562.33327753906</v>
      </c>
      <c r="G59" s="58">
        <f t="shared" si="25"/>
        <v>-477536.08427360217</v>
      </c>
      <c r="H59" s="4"/>
      <c r="I59" s="115"/>
      <c r="J59" s="115"/>
      <c r="K59" s="11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63" t="s">
        <v>169</v>
      </c>
      <c r="B60" s="128"/>
      <c r="C60" s="289">
        <f t="shared" ref="C60:G60" si="26">C61/C50</f>
        <v>2.0009952554943555</v>
      </c>
      <c r="D60" s="289">
        <f t="shared" si="26"/>
        <v>2.1334611414080826</v>
      </c>
      <c r="E60" s="289">
        <f t="shared" si="26"/>
        <v>2.2746962689692971</v>
      </c>
      <c r="F60" s="289">
        <f t="shared" si="26"/>
        <v>2.4252811619750649</v>
      </c>
      <c r="G60" s="307">
        <f t="shared" si="26"/>
        <v>2.5858347748978145</v>
      </c>
      <c r="H60" s="4"/>
      <c r="I60" s="115"/>
      <c r="J60" s="115"/>
      <c r="K60" s="11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63" t="s">
        <v>176</v>
      </c>
      <c r="B61" s="128"/>
      <c r="C61" s="64">
        <f t="shared" ref="C61:G61" si="27">SUM(C62)</f>
        <v>476999.25</v>
      </c>
      <c r="D61" s="64">
        <f t="shared" si="27"/>
        <v>1020282.9028560002</v>
      </c>
      <c r="E61" s="64">
        <f t="shared" si="27"/>
        <v>1258006.9414001545</v>
      </c>
      <c r="F61" s="64">
        <f t="shared" si="27"/>
        <v>1545859.951989674</v>
      </c>
      <c r="G61" s="66">
        <f t="shared" si="27"/>
        <v>1900451.4068734329</v>
      </c>
      <c r="H61" s="4"/>
      <c r="I61" s="115"/>
      <c r="J61" s="115"/>
      <c r="K61" s="11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294" t="s">
        <v>177</v>
      </c>
      <c r="B62" s="311"/>
      <c r="C62" s="108">
        <f>C5-'Supuestos Ventas y Costos'!B46</f>
        <v>476999.25</v>
      </c>
      <c r="D62" s="108">
        <f>D5-'Supuestos Ventas y Costos'!C46</f>
        <v>1020282.9028560002</v>
      </c>
      <c r="E62" s="108">
        <f>E5-'Supuestos Ventas y Costos'!D46</f>
        <v>1258006.9414001545</v>
      </c>
      <c r="F62" s="108">
        <f>F5-'Supuestos Ventas y Costos'!E46</f>
        <v>1545859.951989674</v>
      </c>
      <c r="G62" s="227">
        <f>G5-'Supuestos Ventas y Costos'!F46</f>
        <v>1900451.4068734329</v>
      </c>
      <c r="H62" s="4"/>
      <c r="I62" s="115"/>
      <c r="J62" s="115"/>
      <c r="K62" s="11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4"/>
      <c r="B63" s="4"/>
      <c r="C63" s="4"/>
      <c r="D63" s="4"/>
      <c r="E63" s="4"/>
      <c r="F63" s="4"/>
      <c r="G63" s="4"/>
      <c r="H63" s="4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5.75" customHeight="1" x14ac:dyDescent="0.35">
      <c r="A64" s="4"/>
      <c r="B64" s="4"/>
      <c r="C64" s="4"/>
      <c r="D64" s="4"/>
      <c r="E64" s="4"/>
      <c r="F64" s="4"/>
      <c r="G64" s="4"/>
      <c r="H64" s="4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spans="1:26" ht="15.75" customHeight="1" x14ac:dyDescent="0.35">
      <c r="A65" s="4"/>
      <c r="B65" s="4"/>
      <c r="C65" s="4"/>
      <c r="D65" s="4"/>
      <c r="E65" s="4"/>
      <c r="F65" s="4"/>
      <c r="G65" s="4"/>
      <c r="H65" s="4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spans="1:26" ht="15.75" customHeight="1" x14ac:dyDescent="0.35">
      <c r="A66" s="4"/>
      <c r="B66" s="4"/>
      <c r="C66" s="4"/>
      <c r="D66" s="4"/>
      <c r="E66" s="4"/>
      <c r="F66" s="4"/>
      <c r="G66" s="4"/>
      <c r="H66" s="4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spans="1:26" ht="15.75" customHeight="1" x14ac:dyDescent="0.35">
      <c r="A67" s="376" t="s">
        <v>178</v>
      </c>
      <c r="B67" s="352"/>
      <c r="C67" s="352"/>
      <c r="D67" s="352"/>
      <c r="E67" s="352"/>
      <c r="F67" s="352"/>
      <c r="G67" s="343"/>
      <c r="H67" s="4"/>
      <c r="I67" s="115"/>
      <c r="J67" s="115"/>
      <c r="K67" s="11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312"/>
      <c r="B68" s="26" t="s">
        <v>131</v>
      </c>
      <c r="C68" s="26" t="s">
        <v>91</v>
      </c>
      <c r="D68" s="26" t="s">
        <v>110</v>
      </c>
      <c r="E68" s="26" t="s">
        <v>122</v>
      </c>
      <c r="F68" s="26" t="s">
        <v>128</v>
      </c>
      <c r="G68" s="30" t="s">
        <v>132</v>
      </c>
      <c r="H68" s="4"/>
      <c r="I68" s="115"/>
      <c r="J68" s="115"/>
      <c r="K68" s="11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53" t="s">
        <v>179</v>
      </c>
      <c r="B69" s="52"/>
      <c r="C69" s="52">
        <f t="shared" ref="C69:G69" si="28">B74</f>
        <v>66484.739166666681</v>
      </c>
      <c r="D69" s="52">
        <f t="shared" si="28"/>
        <v>-325330.3698333333</v>
      </c>
      <c r="E69" s="52">
        <f t="shared" si="28"/>
        <v>-951787.39985920012</v>
      </c>
      <c r="F69" s="52">
        <f t="shared" si="28"/>
        <v>-1708228.4046715749</v>
      </c>
      <c r="G69" s="58">
        <f t="shared" si="28"/>
        <v>-2624207.1823191661</v>
      </c>
      <c r="H69" s="4"/>
      <c r="I69" s="115"/>
      <c r="J69" s="115"/>
      <c r="K69" s="11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53" t="s">
        <v>180</v>
      </c>
      <c r="B70" s="52">
        <f>+'Supuestos de Inversión'!B19</f>
        <v>111318.26916666668</v>
      </c>
      <c r="C70" s="52">
        <f t="shared" ref="C70:G70" si="29">C17</f>
        <v>-391815.109</v>
      </c>
      <c r="D70" s="52">
        <f t="shared" si="29"/>
        <v>-626457.03002586681</v>
      </c>
      <c r="E70" s="52">
        <f t="shared" si="29"/>
        <v>-756441.00481237483</v>
      </c>
      <c r="F70" s="52">
        <f t="shared" si="29"/>
        <v>-915978.7776475912</v>
      </c>
      <c r="G70" s="58">
        <f t="shared" si="29"/>
        <v>-1114250.8633050718</v>
      </c>
      <c r="H70" s="4"/>
      <c r="I70" s="115"/>
      <c r="J70" s="115"/>
      <c r="K70" s="11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3" t="s">
        <v>181</v>
      </c>
      <c r="B71" s="52">
        <f>+'Supuestos de Inversión'!B8+'Supuestos de Inversión'!B4+'Supuestos de Inversión'!B16</f>
        <v>44833.53</v>
      </c>
      <c r="C71" s="52"/>
      <c r="D71" s="52"/>
      <c r="E71" s="52"/>
      <c r="F71" s="52"/>
      <c r="G71" s="58"/>
      <c r="H71" s="4"/>
      <c r="I71" s="115"/>
      <c r="J71" s="115"/>
      <c r="K71" s="11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3" t="s">
        <v>137</v>
      </c>
      <c r="B72" s="52"/>
      <c r="C72" s="52">
        <f t="shared" ref="C72:G72" si="30">C25</f>
        <v>0</v>
      </c>
      <c r="D72" s="52">
        <f t="shared" si="30"/>
        <v>0</v>
      </c>
      <c r="E72" s="52">
        <f t="shared" si="30"/>
        <v>0</v>
      </c>
      <c r="F72" s="52">
        <f t="shared" si="30"/>
        <v>0</v>
      </c>
      <c r="G72" s="58">
        <f t="shared" si="30"/>
        <v>0</v>
      </c>
      <c r="H72" s="4"/>
      <c r="I72" s="115"/>
      <c r="J72" s="115"/>
      <c r="K72" s="11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3" t="s">
        <v>114</v>
      </c>
      <c r="B73" s="52"/>
      <c r="C73" s="52">
        <f t="shared" ref="C73:G73" si="31">C24</f>
        <v>0</v>
      </c>
      <c r="D73" s="52">
        <f t="shared" si="31"/>
        <v>0</v>
      </c>
      <c r="E73" s="52">
        <f t="shared" si="31"/>
        <v>0</v>
      </c>
      <c r="F73" s="52">
        <f t="shared" si="31"/>
        <v>0</v>
      </c>
      <c r="G73" s="58">
        <f t="shared" si="31"/>
        <v>0</v>
      </c>
      <c r="H73" s="4"/>
      <c r="I73" s="115"/>
      <c r="J73" s="115"/>
      <c r="K73" s="11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306" t="s">
        <v>182</v>
      </c>
      <c r="B74" s="106">
        <f t="shared" ref="B74:G74" si="32">B69+B70-B71-B72+B73</f>
        <v>66484.739166666681</v>
      </c>
      <c r="C74" s="106">
        <f t="shared" si="32"/>
        <v>-325330.3698333333</v>
      </c>
      <c r="D74" s="106">
        <f t="shared" si="32"/>
        <v>-951787.39985920012</v>
      </c>
      <c r="E74" s="106">
        <f t="shared" si="32"/>
        <v>-1708228.4046715749</v>
      </c>
      <c r="F74" s="106">
        <f t="shared" si="32"/>
        <v>-2624207.1823191661</v>
      </c>
      <c r="G74" s="308">
        <f t="shared" si="32"/>
        <v>-3738458.045624238</v>
      </c>
      <c r="H74" s="4"/>
      <c r="I74" s="115"/>
      <c r="J74" s="115"/>
      <c r="K74" s="11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4"/>
      <c r="B75" s="4"/>
      <c r="C75" s="313"/>
      <c r="D75" s="314"/>
      <c r="E75" s="4"/>
      <c r="F75" s="4"/>
      <c r="G75" s="4"/>
      <c r="H75" s="4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spans="1:26" ht="15.75" customHeight="1" x14ac:dyDescent="0.35">
      <c r="A76" s="4"/>
      <c r="B76" s="315"/>
      <c r="C76" s="316"/>
      <c r="D76" s="293"/>
      <c r="E76" s="293"/>
      <c r="F76" s="293"/>
      <c r="G76" s="4"/>
      <c r="H76" s="4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spans="1:26" ht="15.75" customHeight="1" x14ac:dyDescent="0.35">
      <c r="A77" s="4"/>
      <c r="B77" s="4"/>
      <c r="C77" s="315"/>
      <c r="D77" s="4"/>
      <c r="E77" s="4"/>
      <c r="F77" s="4"/>
      <c r="G77" s="4"/>
      <c r="H77" s="4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spans="1:26" ht="15.75" customHeight="1" x14ac:dyDescent="0.35">
      <c r="A78" s="4"/>
      <c r="B78" s="4"/>
      <c r="C78" s="4"/>
      <c r="D78" s="4"/>
      <c r="E78" s="4"/>
      <c r="F78" s="4"/>
      <c r="G78" s="4"/>
      <c r="H78" s="4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spans="1:26" ht="15.75" customHeight="1" x14ac:dyDescent="0.35">
      <c r="A79" s="4"/>
      <c r="B79" s="4"/>
      <c r="C79" s="4"/>
      <c r="D79" s="4"/>
      <c r="E79" s="4"/>
      <c r="F79" s="4"/>
      <c r="G79" s="4"/>
      <c r="H79" s="4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spans="1:26" ht="15.75" customHeight="1" x14ac:dyDescent="0.35">
      <c r="A80" s="4"/>
      <c r="B80" s="4"/>
      <c r="C80" s="4"/>
      <c r="D80" s="4"/>
      <c r="E80" s="4"/>
      <c r="F80" s="4"/>
      <c r="G80" s="4"/>
      <c r="H80" s="4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spans="1:26" ht="15.75" customHeight="1" x14ac:dyDescent="0.35">
      <c r="A81" s="4"/>
      <c r="B81" s="4"/>
      <c r="C81" s="4"/>
      <c r="D81" s="4"/>
      <c r="E81" s="4"/>
      <c r="F81" s="4"/>
      <c r="G81" s="4"/>
      <c r="H81" s="4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spans="1:26" ht="15.75" customHeight="1" x14ac:dyDescent="0.35">
      <c r="A82" s="4"/>
      <c r="B82" s="4"/>
      <c r="C82" s="4"/>
      <c r="D82" s="4"/>
      <c r="E82" s="4"/>
      <c r="F82" s="4"/>
      <c r="G82" s="4"/>
      <c r="H82" s="4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spans="1:26" ht="15.75" customHeight="1" x14ac:dyDescent="0.35">
      <c r="A83" s="4"/>
      <c r="B83" s="4"/>
      <c r="C83" s="4"/>
      <c r="D83" s="4"/>
      <c r="E83" s="4"/>
      <c r="F83" s="4"/>
      <c r="G83" s="4"/>
      <c r="H83" s="4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spans="1:26" ht="15.75" customHeight="1" x14ac:dyDescent="0.35">
      <c r="A84" s="4"/>
      <c r="B84" s="4"/>
      <c r="C84" s="4"/>
      <c r="D84" s="4"/>
      <c r="E84" s="4"/>
      <c r="F84" s="4"/>
      <c r="G84" s="4"/>
      <c r="H84" s="4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spans="1:26" ht="15.75" customHeight="1" x14ac:dyDescent="0.35">
      <c r="A85" s="4"/>
      <c r="B85" s="4"/>
      <c r="C85" s="4"/>
      <c r="D85" s="4"/>
      <c r="E85" s="4"/>
      <c r="F85" s="4"/>
      <c r="G85" s="4"/>
      <c r="H85" s="4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spans="1:26" ht="15.75" customHeight="1" x14ac:dyDescent="0.35">
      <c r="A86" s="4"/>
      <c r="B86" s="4"/>
      <c r="C86" s="4"/>
      <c r="D86" s="4"/>
      <c r="E86" s="4"/>
      <c r="F86" s="4"/>
      <c r="G86" s="4"/>
      <c r="H86" s="4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spans="1:26" ht="15.75" customHeight="1" x14ac:dyDescent="0.35">
      <c r="A87" s="4"/>
      <c r="B87" s="4"/>
      <c r="C87" s="4"/>
      <c r="D87" s="4"/>
      <c r="E87" s="4"/>
      <c r="F87" s="4"/>
      <c r="G87" s="4"/>
      <c r="H87" s="4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spans="1:26" ht="15.75" customHeight="1" x14ac:dyDescent="0.35">
      <c r="A88" s="4"/>
      <c r="B88" s="4"/>
      <c r="C88" s="4"/>
      <c r="D88" s="4"/>
      <c r="E88" s="4"/>
      <c r="F88" s="4"/>
      <c r="G88" s="4"/>
      <c r="H88" s="4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spans="1:26" ht="15.75" customHeight="1" x14ac:dyDescent="0.35">
      <c r="A89" s="4"/>
      <c r="B89" s="4"/>
      <c r="C89" s="4"/>
      <c r="D89" s="4"/>
      <c r="E89" s="4"/>
      <c r="F89" s="4"/>
      <c r="G89" s="4"/>
      <c r="H89" s="4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spans="1:26" ht="15.75" customHeight="1" x14ac:dyDescent="0.35">
      <c r="A90" s="4"/>
      <c r="B90" s="4"/>
      <c r="C90" s="4"/>
      <c r="D90" s="4"/>
      <c r="E90" s="4"/>
      <c r="F90" s="4"/>
      <c r="G90" s="4"/>
      <c r="H90" s="4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spans="1:26" ht="15.75" customHeight="1" x14ac:dyDescent="0.35">
      <c r="A91" s="4"/>
      <c r="B91" s="4"/>
      <c r="C91" s="4"/>
      <c r="D91" s="4"/>
      <c r="E91" s="4"/>
      <c r="F91" s="4"/>
      <c r="G91" s="4"/>
      <c r="H91" s="4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spans="1:26" ht="15.75" customHeight="1" x14ac:dyDescent="0.35">
      <c r="A92" s="4"/>
      <c r="B92" s="4"/>
      <c r="C92" s="4"/>
      <c r="D92" s="4"/>
      <c r="E92" s="4"/>
      <c r="F92" s="4"/>
      <c r="G92" s="4"/>
      <c r="H92" s="4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spans="1:26" ht="15.75" customHeight="1" x14ac:dyDescent="0.35">
      <c r="A93" s="4"/>
      <c r="B93" s="4"/>
      <c r="C93" s="4"/>
      <c r="D93" s="4"/>
      <c r="E93" s="4"/>
      <c r="F93" s="4"/>
      <c r="G93" s="4"/>
      <c r="H93" s="4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spans="1:26" ht="15.75" customHeight="1" x14ac:dyDescent="0.35">
      <c r="A94" s="4"/>
      <c r="B94" s="4"/>
      <c r="C94" s="4"/>
      <c r="D94" s="4"/>
      <c r="E94" s="4"/>
      <c r="F94" s="4"/>
      <c r="G94" s="4"/>
      <c r="H94" s="4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spans="1:26" ht="15.75" customHeight="1" x14ac:dyDescent="0.35">
      <c r="A95" s="4"/>
      <c r="B95" s="4"/>
      <c r="C95" s="4"/>
      <c r="D95" s="4"/>
      <c r="E95" s="4"/>
      <c r="F95" s="4"/>
      <c r="G95" s="4"/>
      <c r="H95" s="4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spans="1:26" ht="15.75" customHeight="1" x14ac:dyDescent="0.35">
      <c r="A96" s="4"/>
      <c r="B96" s="4"/>
      <c r="C96" s="4"/>
      <c r="D96" s="4"/>
      <c r="E96" s="4"/>
      <c r="F96" s="4"/>
      <c r="G96" s="4"/>
      <c r="H96" s="4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spans="1:26" ht="15.75" customHeight="1" x14ac:dyDescent="0.35">
      <c r="A97" s="4"/>
      <c r="B97" s="4"/>
      <c r="C97" s="4"/>
      <c r="D97" s="4"/>
      <c r="E97" s="4"/>
      <c r="F97" s="4"/>
      <c r="G97" s="4"/>
      <c r="H97" s="4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spans="1:26" ht="15.75" customHeight="1" x14ac:dyDescent="0.35">
      <c r="A98" s="4"/>
      <c r="B98" s="4"/>
      <c r="C98" s="4"/>
      <c r="D98" s="4"/>
      <c r="E98" s="4"/>
      <c r="F98" s="4"/>
      <c r="G98" s="4"/>
      <c r="H98" s="4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spans="1:26" ht="15.75" customHeight="1" x14ac:dyDescent="0.35">
      <c r="A99" s="4"/>
      <c r="B99" s="4"/>
      <c r="C99" s="4"/>
      <c r="D99" s="4"/>
      <c r="E99" s="4"/>
      <c r="F99" s="4"/>
      <c r="G99" s="4"/>
      <c r="H99" s="4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spans="1:26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spans="1:26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spans="1:26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4"/>
      <c r="I103" s="115"/>
      <c r="J103" s="115"/>
      <c r="K103" s="11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4"/>
      <c r="I104" s="115"/>
      <c r="J104" s="115"/>
      <c r="K104" s="11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4"/>
      <c r="I105" s="115"/>
      <c r="J105" s="115"/>
      <c r="K105" s="11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4"/>
      <c r="I106" s="115"/>
      <c r="J106" s="115"/>
      <c r="K106" s="11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4"/>
      <c r="I107" s="115"/>
      <c r="J107" s="115"/>
      <c r="K107" s="11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4"/>
      <c r="I108" s="115"/>
      <c r="J108" s="115"/>
      <c r="K108" s="11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4"/>
      <c r="I109" s="115"/>
      <c r="J109" s="115"/>
      <c r="K109" s="11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4"/>
      <c r="I110" s="115"/>
      <c r="J110" s="115"/>
      <c r="K110" s="11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4"/>
      <c r="I111" s="115"/>
      <c r="J111" s="115"/>
      <c r="K111" s="11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4"/>
      <c r="I112" s="115"/>
      <c r="J112" s="115"/>
      <c r="K112" s="11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4"/>
      <c r="I113" s="115"/>
      <c r="J113" s="115"/>
      <c r="K113" s="11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4"/>
      <c r="I114" s="115"/>
      <c r="J114" s="115"/>
      <c r="K114" s="11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4"/>
      <c r="I115" s="115"/>
      <c r="J115" s="115"/>
      <c r="K115" s="11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4"/>
      <c r="I116" s="115"/>
      <c r="J116" s="115"/>
      <c r="K116" s="11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4"/>
      <c r="I117" s="115"/>
      <c r="J117" s="115"/>
      <c r="K117" s="11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4"/>
      <c r="I118" s="115"/>
      <c r="J118" s="115"/>
      <c r="K118" s="11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4"/>
      <c r="I119" s="115"/>
      <c r="J119" s="115"/>
      <c r="K119" s="11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4"/>
      <c r="I120" s="115"/>
      <c r="J120" s="115"/>
      <c r="K120" s="11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4"/>
      <c r="I121" s="115"/>
      <c r="J121" s="115"/>
      <c r="K121" s="11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4"/>
      <c r="I122" s="115"/>
      <c r="J122" s="115"/>
      <c r="K122" s="11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4"/>
      <c r="I123" s="115"/>
      <c r="J123" s="115"/>
      <c r="K123" s="11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4"/>
      <c r="I124" s="115"/>
      <c r="J124" s="115"/>
      <c r="K124" s="11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4"/>
      <c r="I125" s="115"/>
      <c r="J125" s="115"/>
      <c r="K125" s="11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4"/>
      <c r="I126" s="115"/>
      <c r="J126" s="115"/>
      <c r="K126" s="11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4"/>
      <c r="I127" s="115"/>
      <c r="J127" s="115"/>
      <c r="K127" s="11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4"/>
      <c r="I128" s="115"/>
      <c r="J128" s="115"/>
      <c r="K128" s="11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4"/>
      <c r="I129" s="115"/>
      <c r="J129" s="115"/>
      <c r="K129" s="11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4"/>
      <c r="I130" s="115"/>
      <c r="J130" s="115"/>
      <c r="K130" s="11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4"/>
      <c r="I131" s="115"/>
      <c r="J131" s="115"/>
      <c r="K131" s="11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4"/>
      <c r="I132" s="115"/>
      <c r="J132" s="115"/>
      <c r="K132" s="11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4"/>
      <c r="I133" s="115"/>
      <c r="J133" s="115"/>
      <c r="K133" s="11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4"/>
      <c r="I134" s="115"/>
      <c r="J134" s="115"/>
      <c r="K134" s="11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4"/>
      <c r="I135" s="115"/>
      <c r="J135" s="115"/>
      <c r="K135" s="11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4"/>
      <c r="I136" s="115"/>
      <c r="J136" s="115"/>
      <c r="K136" s="11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4"/>
      <c r="I137" s="115"/>
      <c r="J137" s="115"/>
      <c r="K137" s="11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4"/>
      <c r="I138" s="115"/>
      <c r="J138" s="115"/>
      <c r="K138" s="11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4"/>
      <c r="I139" s="115"/>
      <c r="J139" s="115"/>
      <c r="K139" s="11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4"/>
      <c r="I140" s="115"/>
      <c r="J140" s="115"/>
      <c r="K140" s="11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4"/>
      <c r="I141" s="115"/>
      <c r="J141" s="115"/>
      <c r="K141" s="11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4"/>
      <c r="I142" s="115"/>
      <c r="J142" s="115"/>
      <c r="K142" s="11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4"/>
      <c r="I143" s="115"/>
      <c r="J143" s="115"/>
      <c r="K143" s="11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4"/>
      <c r="I144" s="115"/>
      <c r="J144" s="115"/>
      <c r="K144" s="11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4"/>
      <c r="I145" s="115"/>
      <c r="J145" s="115"/>
      <c r="K145" s="11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4"/>
      <c r="I146" s="115"/>
      <c r="J146" s="115"/>
      <c r="K146" s="11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4"/>
      <c r="I147" s="115"/>
      <c r="J147" s="115"/>
      <c r="K147" s="11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4"/>
      <c r="I148" s="115"/>
      <c r="J148" s="115"/>
      <c r="K148" s="11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4"/>
      <c r="I149" s="115"/>
      <c r="J149" s="115"/>
      <c r="K149" s="11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4"/>
      <c r="I150" s="115"/>
      <c r="J150" s="115"/>
      <c r="K150" s="11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4"/>
      <c r="I151" s="115"/>
      <c r="J151" s="115"/>
      <c r="K151" s="11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4"/>
      <c r="I152" s="115"/>
      <c r="J152" s="115"/>
      <c r="K152" s="11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4"/>
      <c r="I153" s="115"/>
      <c r="J153" s="115"/>
      <c r="K153" s="11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4"/>
      <c r="I154" s="115"/>
      <c r="J154" s="115"/>
      <c r="K154" s="11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4"/>
      <c r="I155" s="115"/>
      <c r="J155" s="115"/>
      <c r="K155" s="11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4"/>
      <c r="I156" s="115"/>
      <c r="J156" s="115"/>
      <c r="K156" s="11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4"/>
      <c r="I157" s="115"/>
      <c r="J157" s="115"/>
      <c r="K157" s="11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4"/>
      <c r="I158" s="115"/>
      <c r="J158" s="115"/>
      <c r="K158" s="11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4"/>
      <c r="I159" s="115"/>
      <c r="J159" s="115"/>
      <c r="K159" s="11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4"/>
      <c r="I160" s="115"/>
      <c r="J160" s="115"/>
      <c r="K160" s="11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4"/>
      <c r="I161" s="115"/>
      <c r="J161" s="115"/>
      <c r="K161" s="11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4"/>
      <c r="I162" s="115"/>
      <c r="J162" s="115"/>
      <c r="K162" s="11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4"/>
      <c r="I163" s="115"/>
      <c r="J163" s="115"/>
      <c r="K163" s="11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4"/>
      <c r="I164" s="115"/>
      <c r="J164" s="115"/>
      <c r="K164" s="11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4"/>
      <c r="I165" s="115"/>
      <c r="J165" s="115"/>
      <c r="K165" s="11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4"/>
      <c r="I166" s="115"/>
      <c r="J166" s="115"/>
      <c r="K166" s="11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4"/>
      <c r="I167" s="115"/>
      <c r="J167" s="115"/>
      <c r="K167" s="11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4"/>
      <c r="I168" s="115"/>
      <c r="J168" s="115"/>
      <c r="K168" s="11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4"/>
      <c r="I169" s="115"/>
      <c r="J169" s="115"/>
      <c r="K169" s="11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4"/>
      <c r="I170" s="115"/>
      <c r="J170" s="115"/>
      <c r="K170" s="11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4"/>
      <c r="I171" s="115"/>
      <c r="J171" s="115"/>
      <c r="K171" s="11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4"/>
      <c r="I172" s="115"/>
      <c r="J172" s="115"/>
      <c r="K172" s="11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4"/>
      <c r="I173" s="115"/>
      <c r="J173" s="115"/>
      <c r="K173" s="11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4"/>
      <c r="I174" s="115"/>
      <c r="J174" s="115"/>
      <c r="K174" s="11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4"/>
      <c r="I175" s="115"/>
      <c r="J175" s="115"/>
      <c r="K175" s="11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4"/>
      <c r="I176" s="115"/>
      <c r="J176" s="115"/>
      <c r="K176" s="11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4"/>
      <c r="I177" s="115"/>
      <c r="J177" s="115"/>
      <c r="K177" s="11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4"/>
      <c r="I178" s="115"/>
      <c r="J178" s="115"/>
      <c r="K178" s="11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4"/>
      <c r="I179" s="115"/>
      <c r="J179" s="115"/>
      <c r="K179" s="11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4"/>
      <c r="I180" s="115"/>
      <c r="J180" s="115"/>
      <c r="K180" s="11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4"/>
      <c r="I181" s="115"/>
      <c r="J181" s="115"/>
      <c r="K181" s="11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4"/>
      <c r="I182" s="115"/>
      <c r="J182" s="115"/>
      <c r="K182" s="11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4"/>
      <c r="I183" s="115"/>
      <c r="J183" s="115"/>
      <c r="K183" s="11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4"/>
      <c r="I184" s="115"/>
      <c r="J184" s="115"/>
      <c r="K184" s="11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4"/>
      <c r="I185" s="115"/>
      <c r="J185" s="115"/>
      <c r="K185" s="11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4"/>
      <c r="I186" s="115"/>
      <c r="J186" s="115"/>
      <c r="K186" s="11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4"/>
      <c r="I187" s="115"/>
      <c r="J187" s="115"/>
      <c r="K187" s="11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4"/>
      <c r="I188" s="115"/>
      <c r="J188" s="115"/>
      <c r="K188" s="11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4"/>
      <c r="I189" s="115"/>
      <c r="J189" s="115"/>
      <c r="K189" s="11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4"/>
      <c r="I190" s="115"/>
      <c r="J190" s="115"/>
      <c r="K190" s="11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4"/>
      <c r="I191" s="115"/>
      <c r="J191" s="115"/>
      <c r="K191" s="11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4"/>
      <c r="I192" s="115"/>
      <c r="J192" s="115"/>
      <c r="K192" s="11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4"/>
      <c r="I193" s="115"/>
      <c r="J193" s="115"/>
      <c r="K193" s="11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4"/>
      <c r="I194" s="115"/>
      <c r="J194" s="115"/>
      <c r="K194" s="11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4"/>
      <c r="I195" s="115"/>
      <c r="J195" s="115"/>
      <c r="K195" s="11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4"/>
      <c r="I196" s="115"/>
      <c r="J196" s="115"/>
      <c r="K196" s="11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4"/>
      <c r="I197" s="115"/>
      <c r="J197" s="115"/>
      <c r="K197" s="11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4"/>
      <c r="I198" s="115"/>
      <c r="J198" s="115"/>
      <c r="K198" s="11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4"/>
      <c r="I199" s="115"/>
      <c r="J199" s="115"/>
      <c r="K199" s="11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4"/>
      <c r="I200" s="115"/>
      <c r="J200" s="115"/>
      <c r="K200" s="11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4"/>
      <c r="I201" s="115"/>
      <c r="J201" s="115"/>
      <c r="K201" s="11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4"/>
      <c r="I202" s="115"/>
      <c r="J202" s="115"/>
      <c r="K202" s="11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4"/>
      <c r="I203" s="115"/>
      <c r="J203" s="115"/>
      <c r="K203" s="11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4"/>
      <c r="I204" s="115"/>
      <c r="J204" s="115"/>
      <c r="K204" s="11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4"/>
      <c r="I205" s="115"/>
      <c r="J205" s="115"/>
      <c r="K205" s="11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4"/>
      <c r="I206" s="115"/>
      <c r="J206" s="115"/>
      <c r="K206" s="11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4"/>
      <c r="I207" s="115"/>
      <c r="J207" s="115"/>
      <c r="K207" s="11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4"/>
      <c r="I208" s="115"/>
      <c r="J208" s="115"/>
      <c r="K208" s="11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4"/>
      <c r="I209" s="115"/>
      <c r="J209" s="115"/>
      <c r="K209" s="11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4"/>
      <c r="I210" s="115"/>
      <c r="J210" s="115"/>
      <c r="K210" s="11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4"/>
      <c r="I211" s="115"/>
      <c r="J211" s="115"/>
      <c r="K211" s="11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4"/>
      <c r="I212" s="115"/>
      <c r="J212" s="115"/>
      <c r="K212" s="11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4"/>
      <c r="I213" s="115"/>
      <c r="J213" s="115"/>
      <c r="K213" s="11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4"/>
      <c r="I214" s="115"/>
      <c r="J214" s="115"/>
      <c r="K214" s="11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4"/>
      <c r="I215" s="115"/>
      <c r="J215" s="115"/>
      <c r="K215" s="11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4"/>
      <c r="I216" s="115"/>
      <c r="J216" s="115"/>
      <c r="K216" s="11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4"/>
      <c r="I217" s="115"/>
      <c r="J217" s="115"/>
      <c r="K217" s="11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4"/>
      <c r="I218" s="115"/>
      <c r="J218" s="115"/>
      <c r="K218" s="11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4"/>
      <c r="I219" s="115"/>
      <c r="J219" s="115"/>
      <c r="K219" s="11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4"/>
      <c r="I220" s="115"/>
      <c r="J220" s="115"/>
      <c r="K220" s="11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4"/>
      <c r="I221" s="115"/>
      <c r="J221" s="115"/>
      <c r="K221" s="11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4"/>
      <c r="I222" s="115"/>
      <c r="J222" s="115"/>
      <c r="K222" s="11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4"/>
      <c r="I223" s="115"/>
      <c r="J223" s="115"/>
      <c r="K223" s="11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4"/>
      <c r="I224" s="115"/>
      <c r="J224" s="115"/>
      <c r="K224" s="11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4"/>
      <c r="I225" s="115"/>
      <c r="J225" s="115"/>
      <c r="K225" s="11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4"/>
      <c r="I226" s="115"/>
      <c r="J226" s="115"/>
      <c r="K226" s="11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4"/>
      <c r="I227" s="115"/>
      <c r="J227" s="115"/>
      <c r="K227" s="11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4"/>
      <c r="I228" s="115"/>
      <c r="J228" s="115"/>
      <c r="K228" s="11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4"/>
      <c r="I229" s="115"/>
      <c r="J229" s="115"/>
      <c r="K229" s="11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4"/>
      <c r="I230" s="115"/>
      <c r="J230" s="115"/>
      <c r="K230" s="11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4"/>
      <c r="I231" s="115"/>
      <c r="J231" s="115"/>
      <c r="K231" s="11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4"/>
      <c r="I232" s="115"/>
      <c r="J232" s="115"/>
      <c r="K232" s="11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4"/>
      <c r="I233" s="115"/>
      <c r="J233" s="115"/>
      <c r="K233" s="11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4"/>
      <c r="I234" s="115"/>
      <c r="J234" s="115"/>
      <c r="K234" s="11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4"/>
      <c r="I235" s="115"/>
      <c r="J235" s="115"/>
      <c r="K235" s="11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4"/>
      <c r="I236" s="115"/>
      <c r="J236" s="115"/>
      <c r="K236" s="11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4"/>
      <c r="I237" s="115"/>
      <c r="J237" s="115"/>
      <c r="K237" s="11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4"/>
      <c r="I238" s="115"/>
      <c r="J238" s="115"/>
      <c r="K238" s="11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4"/>
      <c r="I239" s="115"/>
      <c r="J239" s="115"/>
      <c r="K239" s="11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4"/>
      <c r="I240" s="115"/>
      <c r="J240" s="115"/>
      <c r="K240" s="11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4"/>
      <c r="I241" s="115"/>
      <c r="J241" s="115"/>
      <c r="K241" s="11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4"/>
      <c r="I242" s="115"/>
      <c r="J242" s="115"/>
      <c r="K242" s="11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4"/>
      <c r="I243" s="115"/>
      <c r="J243" s="115"/>
      <c r="K243" s="11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4"/>
      <c r="I244" s="115"/>
      <c r="J244" s="115"/>
      <c r="K244" s="11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4"/>
      <c r="I245" s="115"/>
      <c r="J245" s="115"/>
      <c r="K245" s="11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4"/>
      <c r="I246" s="115"/>
      <c r="J246" s="115"/>
      <c r="K246" s="11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4"/>
      <c r="I247" s="115"/>
      <c r="J247" s="115"/>
      <c r="K247" s="11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4"/>
      <c r="I248" s="115"/>
      <c r="J248" s="115"/>
      <c r="K248" s="11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4"/>
      <c r="I249" s="115"/>
      <c r="J249" s="115"/>
      <c r="K249" s="11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4"/>
      <c r="I250" s="115"/>
      <c r="J250" s="115"/>
      <c r="K250" s="11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4"/>
      <c r="I251" s="115"/>
      <c r="J251" s="115"/>
      <c r="K251" s="11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4"/>
      <c r="I252" s="115"/>
      <c r="J252" s="115"/>
      <c r="K252" s="11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4"/>
      <c r="I253" s="115"/>
      <c r="J253" s="115"/>
      <c r="K253" s="11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4"/>
      <c r="I254" s="115"/>
      <c r="J254" s="115"/>
      <c r="K254" s="11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4"/>
      <c r="I255" s="115"/>
      <c r="J255" s="115"/>
      <c r="K255" s="11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4"/>
      <c r="I256" s="115"/>
      <c r="J256" s="115"/>
      <c r="K256" s="11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4"/>
      <c r="I257" s="115"/>
      <c r="J257" s="115"/>
      <c r="K257" s="11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4"/>
      <c r="I258" s="115"/>
      <c r="J258" s="115"/>
      <c r="K258" s="11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4"/>
      <c r="I259" s="115"/>
      <c r="J259" s="115"/>
      <c r="K259" s="11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4"/>
      <c r="I260" s="115"/>
      <c r="J260" s="115"/>
      <c r="K260" s="11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4"/>
      <c r="I261" s="115"/>
      <c r="J261" s="115"/>
      <c r="K261" s="11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4"/>
      <c r="I262" s="115"/>
      <c r="J262" s="115"/>
      <c r="K262" s="11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4"/>
      <c r="I263" s="115"/>
      <c r="J263" s="115"/>
      <c r="K263" s="11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4"/>
      <c r="I264" s="115"/>
      <c r="J264" s="115"/>
      <c r="K264" s="11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4"/>
      <c r="I265" s="115"/>
      <c r="J265" s="115"/>
      <c r="K265" s="11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4"/>
      <c r="I266" s="115"/>
      <c r="J266" s="115"/>
      <c r="K266" s="11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4"/>
      <c r="I267" s="115"/>
      <c r="J267" s="115"/>
      <c r="K267" s="11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4"/>
      <c r="I268" s="115"/>
      <c r="J268" s="115"/>
      <c r="K268" s="11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4"/>
      <c r="I269" s="115"/>
      <c r="J269" s="115"/>
      <c r="K269" s="11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4"/>
      <c r="I270" s="115"/>
      <c r="J270" s="115"/>
      <c r="K270" s="11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4"/>
      <c r="I271" s="115"/>
      <c r="J271" s="115"/>
      <c r="K271" s="11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4"/>
      <c r="I272" s="115"/>
      <c r="J272" s="115"/>
      <c r="K272" s="11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4"/>
      <c r="I273" s="115"/>
      <c r="J273" s="115"/>
      <c r="K273" s="11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4"/>
      <c r="I274" s="115"/>
      <c r="J274" s="115"/>
      <c r="K274" s="11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4"/>
      <c r="I275" s="115"/>
      <c r="J275" s="115"/>
      <c r="K275" s="11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4"/>
      <c r="I276" s="115"/>
      <c r="J276" s="115"/>
      <c r="K276" s="11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4"/>
      <c r="I277" s="115"/>
      <c r="J277" s="115"/>
      <c r="K277" s="11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4"/>
      <c r="I278" s="115"/>
      <c r="J278" s="115"/>
      <c r="K278" s="11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4"/>
      <c r="I279" s="115"/>
      <c r="J279" s="115"/>
      <c r="K279" s="11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4"/>
      <c r="I280" s="115"/>
      <c r="J280" s="115"/>
      <c r="K280" s="11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4"/>
      <c r="I281" s="115"/>
      <c r="J281" s="115"/>
      <c r="K281" s="11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4"/>
      <c r="I282" s="115"/>
      <c r="J282" s="115"/>
      <c r="K282" s="11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4"/>
      <c r="I283" s="115"/>
      <c r="J283" s="115"/>
      <c r="K283" s="11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4"/>
      <c r="I284" s="115"/>
      <c r="J284" s="115"/>
      <c r="K284" s="11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4"/>
      <c r="I285" s="115"/>
      <c r="J285" s="115"/>
      <c r="K285" s="11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4"/>
      <c r="I286" s="115"/>
      <c r="J286" s="115"/>
      <c r="K286" s="11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4"/>
      <c r="I287" s="115"/>
      <c r="J287" s="115"/>
      <c r="K287" s="11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4"/>
      <c r="I288" s="115"/>
      <c r="J288" s="115"/>
      <c r="K288" s="11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4"/>
      <c r="I289" s="115"/>
      <c r="J289" s="115"/>
      <c r="K289" s="11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4"/>
      <c r="I290" s="115"/>
      <c r="J290" s="115"/>
      <c r="K290" s="11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4"/>
      <c r="I291" s="115"/>
      <c r="J291" s="115"/>
      <c r="K291" s="11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4"/>
      <c r="I292" s="115"/>
      <c r="J292" s="115"/>
      <c r="K292" s="11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4"/>
      <c r="I293" s="115"/>
      <c r="J293" s="115"/>
      <c r="K293" s="11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4"/>
      <c r="I294" s="115"/>
      <c r="J294" s="115"/>
      <c r="K294" s="11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4"/>
      <c r="I295" s="115"/>
      <c r="J295" s="115"/>
      <c r="K295" s="11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4"/>
      <c r="I296" s="115"/>
      <c r="J296" s="115"/>
      <c r="K296" s="11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4"/>
      <c r="I297" s="115"/>
      <c r="J297" s="115"/>
      <c r="K297" s="11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4"/>
      <c r="I298" s="115"/>
      <c r="J298" s="115"/>
      <c r="K298" s="11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4"/>
      <c r="I299" s="115"/>
      <c r="J299" s="115"/>
      <c r="K299" s="11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4"/>
      <c r="I300" s="115"/>
      <c r="J300" s="115"/>
      <c r="K300" s="11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4"/>
      <c r="I301" s="115"/>
      <c r="J301" s="115"/>
      <c r="K301" s="11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4"/>
      <c r="I302" s="115"/>
      <c r="J302" s="115"/>
      <c r="K302" s="11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4"/>
      <c r="I303" s="115"/>
      <c r="J303" s="115"/>
      <c r="K303" s="11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4"/>
      <c r="I304" s="115"/>
      <c r="J304" s="115"/>
      <c r="K304" s="11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4"/>
      <c r="I305" s="115"/>
      <c r="J305" s="115"/>
      <c r="K305" s="11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4"/>
      <c r="I306" s="115"/>
      <c r="J306" s="115"/>
      <c r="K306" s="11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4"/>
      <c r="I307" s="115"/>
      <c r="J307" s="115"/>
      <c r="K307" s="11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4"/>
      <c r="I308" s="115"/>
      <c r="J308" s="115"/>
      <c r="K308" s="11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4"/>
      <c r="I309" s="115"/>
      <c r="J309" s="115"/>
      <c r="K309" s="11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4"/>
      <c r="I310" s="115"/>
      <c r="J310" s="115"/>
      <c r="K310" s="11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4"/>
      <c r="I311" s="115"/>
      <c r="J311" s="115"/>
      <c r="K311" s="11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4"/>
      <c r="I312" s="115"/>
      <c r="J312" s="115"/>
      <c r="K312" s="11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4"/>
      <c r="I313" s="115"/>
      <c r="J313" s="115"/>
      <c r="K313" s="11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4"/>
      <c r="I314" s="115"/>
      <c r="J314" s="115"/>
      <c r="K314" s="11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4"/>
      <c r="I315" s="115"/>
      <c r="J315" s="115"/>
      <c r="K315" s="11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4"/>
      <c r="I316" s="115"/>
      <c r="J316" s="115"/>
      <c r="K316" s="11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4"/>
      <c r="I317" s="115"/>
      <c r="J317" s="115"/>
      <c r="K317" s="11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4"/>
      <c r="I318" s="115"/>
      <c r="J318" s="115"/>
      <c r="K318" s="11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4"/>
      <c r="I319" s="115"/>
      <c r="J319" s="115"/>
      <c r="K319" s="11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4"/>
      <c r="I320" s="115"/>
      <c r="J320" s="115"/>
      <c r="K320" s="11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4"/>
      <c r="I321" s="115"/>
      <c r="J321" s="115"/>
      <c r="K321" s="11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4"/>
      <c r="I322" s="115"/>
      <c r="J322" s="115"/>
      <c r="K322" s="11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4"/>
      <c r="I323" s="115"/>
      <c r="J323" s="115"/>
      <c r="K323" s="11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4"/>
      <c r="I324" s="115"/>
      <c r="J324" s="115"/>
      <c r="K324" s="11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4"/>
      <c r="I325" s="115"/>
      <c r="J325" s="115"/>
      <c r="K325" s="11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4"/>
      <c r="I326" s="115"/>
      <c r="J326" s="115"/>
      <c r="K326" s="11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4"/>
      <c r="I327" s="115"/>
      <c r="J327" s="115"/>
      <c r="K327" s="11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4"/>
      <c r="I328" s="115"/>
      <c r="J328" s="115"/>
      <c r="K328" s="11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4"/>
      <c r="I329" s="115"/>
      <c r="J329" s="115"/>
      <c r="K329" s="11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4"/>
      <c r="I330" s="115"/>
      <c r="J330" s="115"/>
      <c r="K330" s="11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4"/>
      <c r="I331" s="115"/>
      <c r="J331" s="115"/>
      <c r="K331" s="11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4"/>
      <c r="I332" s="115"/>
      <c r="J332" s="115"/>
      <c r="K332" s="11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4"/>
      <c r="I333" s="115"/>
      <c r="J333" s="115"/>
      <c r="K333" s="11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4"/>
      <c r="I334" s="115"/>
      <c r="J334" s="115"/>
      <c r="K334" s="11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4"/>
      <c r="I335" s="115"/>
      <c r="J335" s="115"/>
      <c r="K335" s="11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4"/>
      <c r="I336" s="115"/>
      <c r="J336" s="115"/>
      <c r="K336" s="11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4"/>
      <c r="I337" s="115"/>
      <c r="J337" s="115"/>
      <c r="K337" s="11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4"/>
      <c r="I338" s="115"/>
      <c r="J338" s="115"/>
      <c r="K338" s="11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4"/>
      <c r="I339" s="115"/>
      <c r="J339" s="115"/>
      <c r="K339" s="11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4"/>
      <c r="I340" s="115"/>
      <c r="J340" s="115"/>
      <c r="K340" s="11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4"/>
      <c r="I341" s="115"/>
      <c r="J341" s="115"/>
      <c r="K341" s="11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4"/>
      <c r="I342" s="115"/>
      <c r="J342" s="115"/>
      <c r="K342" s="11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4"/>
      <c r="I343" s="115"/>
      <c r="J343" s="115"/>
      <c r="K343" s="11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4"/>
      <c r="I344" s="115"/>
      <c r="J344" s="115"/>
      <c r="K344" s="11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4"/>
      <c r="I345" s="115"/>
      <c r="J345" s="115"/>
      <c r="K345" s="11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4"/>
      <c r="I346" s="115"/>
      <c r="J346" s="115"/>
      <c r="K346" s="11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4"/>
      <c r="I347" s="115"/>
      <c r="J347" s="115"/>
      <c r="K347" s="11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4"/>
      <c r="I348" s="115"/>
      <c r="J348" s="115"/>
      <c r="K348" s="11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4"/>
      <c r="I349" s="115"/>
      <c r="J349" s="115"/>
      <c r="K349" s="11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4"/>
      <c r="I350" s="115"/>
      <c r="J350" s="115"/>
      <c r="K350" s="11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4"/>
      <c r="I351" s="115"/>
      <c r="J351" s="115"/>
      <c r="K351" s="11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4"/>
      <c r="I352" s="115"/>
      <c r="J352" s="115"/>
      <c r="K352" s="11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4"/>
      <c r="I353" s="115"/>
      <c r="J353" s="115"/>
      <c r="K353" s="11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4"/>
      <c r="I354" s="115"/>
      <c r="J354" s="115"/>
      <c r="K354" s="11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4"/>
      <c r="I355" s="115"/>
      <c r="J355" s="115"/>
      <c r="K355" s="11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4"/>
      <c r="I356" s="115"/>
      <c r="J356" s="115"/>
      <c r="K356" s="11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4"/>
      <c r="I357" s="115"/>
      <c r="J357" s="115"/>
      <c r="K357" s="11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4"/>
      <c r="I358" s="115"/>
      <c r="J358" s="115"/>
      <c r="K358" s="11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4"/>
      <c r="I359" s="115"/>
      <c r="J359" s="115"/>
      <c r="K359" s="11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4"/>
      <c r="I360" s="115"/>
      <c r="J360" s="115"/>
      <c r="K360" s="11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4"/>
      <c r="I361" s="115"/>
      <c r="J361" s="115"/>
      <c r="K361" s="11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4"/>
      <c r="I362" s="115"/>
      <c r="J362" s="115"/>
      <c r="K362" s="11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4"/>
      <c r="I363" s="115"/>
      <c r="J363" s="115"/>
      <c r="K363" s="11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4"/>
      <c r="I364" s="115"/>
      <c r="J364" s="115"/>
      <c r="K364" s="11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4"/>
      <c r="I365" s="115"/>
      <c r="J365" s="115"/>
      <c r="K365" s="11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4"/>
      <c r="I366" s="115"/>
      <c r="J366" s="115"/>
      <c r="K366" s="11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4"/>
      <c r="I367" s="115"/>
      <c r="J367" s="115"/>
      <c r="K367" s="11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4"/>
      <c r="I368" s="115"/>
      <c r="J368" s="115"/>
      <c r="K368" s="11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4"/>
      <c r="I369" s="115"/>
      <c r="J369" s="115"/>
      <c r="K369" s="11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4"/>
      <c r="I370" s="115"/>
      <c r="J370" s="115"/>
      <c r="K370" s="11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4"/>
      <c r="I371" s="115"/>
      <c r="J371" s="115"/>
      <c r="K371" s="11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4"/>
      <c r="I372" s="115"/>
      <c r="J372" s="115"/>
      <c r="K372" s="11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4"/>
      <c r="I373" s="115"/>
      <c r="J373" s="115"/>
      <c r="K373" s="11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4"/>
      <c r="I374" s="115"/>
      <c r="J374" s="115"/>
      <c r="K374" s="11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4"/>
      <c r="I375" s="115"/>
      <c r="J375" s="115"/>
      <c r="K375" s="11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4"/>
      <c r="I376" s="115"/>
      <c r="J376" s="115"/>
      <c r="K376" s="11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4"/>
      <c r="I377" s="115"/>
      <c r="J377" s="115"/>
      <c r="K377" s="11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4"/>
      <c r="I378" s="115"/>
      <c r="J378" s="115"/>
      <c r="K378" s="11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4"/>
      <c r="I379" s="115"/>
      <c r="J379" s="115"/>
      <c r="K379" s="11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4"/>
      <c r="I380" s="115"/>
      <c r="J380" s="115"/>
      <c r="K380" s="11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4"/>
      <c r="I381" s="115"/>
      <c r="J381" s="115"/>
      <c r="K381" s="11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4"/>
      <c r="I382" s="115"/>
      <c r="J382" s="115"/>
      <c r="K382" s="11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4"/>
      <c r="I383" s="115"/>
      <c r="J383" s="115"/>
      <c r="K383" s="11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4"/>
      <c r="I384" s="115"/>
      <c r="J384" s="115"/>
      <c r="K384" s="11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4"/>
      <c r="I385" s="115"/>
      <c r="J385" s="115"/>
      <c r="K385" s="11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4"/>
      <c r="I386" s="115"/>
      <c r="J386" s="115"/>
      <c r="K386" s="11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4"/>
      <c r="I387" s="115"/>
      <c r="J387" s="115"/>
      <c r="K387" s="11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4"/>
      <c r="I388" s="115"/>
      <c r="J388" s="115"/>
      <c r="K388" s="11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4"/>
      <c r="I389" s="115"/>
      <c r="J389" s="115"/>
      <c r="K389" s="11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4"/>
      <c r="I390" s="115"/>
      <c r="J390" s="115"/>
      <c r="K390" s="11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4"/>
      <c r="I391" s="115"/>
      <c r="J391" s="115"/>
      <c r="K391" s="11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4"/>
      <c r="I392" s="115"/>
      <c r="J392" s="115"/>
      <c r="K392" s="11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4"/>
      <c r="I393" s="115"/>
      <c r="J393" s="115"/>
      <c r="K393" s="11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4"/>
      <c r="I394" s="115"/>
      <c r="J394" s="115"/>
      <c r="K394" s="11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4"/>
      <c r="I395" s="115"/>
      <c r="J395" s="115"/>
      <c r="K395" s="11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4"/>
      <c r="I396" s="115"/>
      <c r="J396" s="115"/>
      <c r="K396" s="11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4"/>
      <c r="I397" s="115"/>
      <c r="J397" s="115"/>
      <c r="K397" s="11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4"/>
      <c r="I398" s="115"/>
      <c r="J398" s="115"/>
      <c r="K398" s="11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4"/>
      <c r="I399" s="115"/>
      <c r="J399" s="115"/>
      <c r="K399" s="11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4"/>
      <c r="I400" s="115"/>
      <c r="J400" s="115"/>
      <c r="K400" s="11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4"/>
      <c r="I401" s="115"/>
      <c r="J401" s="115"/>
      <c r="K401" s="11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4"/>
      <c r="I402" s="115"/>
      <c r="J402" s="115"/>
      <c r="K402" s="11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4"/>
      <c r="I403" s="115"/>
      <c r="J403" s="115"/>
      <c r="K403" s="11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4"/>
      <c r="I404" s="115"/>
      <c r="J404" s="115"/>
      <c r="K404" s="11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4"/>
      <c r="I405" s="115"/>
      <c r="J405" s="115"/>
      <c r="K405" s="11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4"/>
      <c r="I406" s="115"/>
      <c r="J406" s="115"/>
      <c r="K406" s="11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4"/>
      <c r="I407" s="115"/>
      <c r="J407" s="115"/>
      <c r="K407" s="11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4"/>
      <c r="I408" s="115"/>
      <c r="J408" s="115"/>
      <c r="K408" s="11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4"/>
      <c r="I409" s="115"/>
      <c r="J409" s="115"/>
      <c r="K409" s="11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4"/>
      <c r="I410" s="115"/>
      <c r="J410" s="115"/>
      <c r="K410" s="11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4"/>
      <c r="I411" s="115"/>
      <c r="J411" s="115"/>
      <c r="K411" s="11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4"/>
      <c r="I412" s="115"/>
      <c r="J412" s="115"/>
      <c r="K412" s="11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4"/>
      <c r="I413" s="115"/>
      <c r="J413" s="115"/>
      <c r="K413" s="11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4"/>
      <c r="I414" s="115"/>
      <c r="J414" s="115"/>
      <c r="K414" s="11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4"/>
      <c r="I415" s="115"/>
      <c r="J415" s="115"/>
      <c r="K415" s="11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4"/>
      <c r="I416" s="115"/>
      <c r="J416" s="115"/>
      <c r="K416" s="11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4"/>
      <c r="I417" s="115"/>
      <c r="J417" s="115"/>
      <c r="K417" s="11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4"/>
      <c r="I418" s="115"/>
      <c r="J418" s="115"/>
      <c r="K418" s="11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4"/>
      <c r="I419" s="115"/>
      <c r="J419" s="115"/>
      <c r="K419" s="11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4"/>
      <c r="I420" s="115"/>
      <c r="J420" s="115"/>
      <c r="K420" s="11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4"/>
      <c r="I421" s="115"/>
      <c r="J421" s="115"/>
      <c r="K421" s="11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4"/>
      <c r="I422" s="115"/>
      <c r="J422" s="115"/>
      <c r="K422" s="11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4"/>
      <c r="I423" s="115"/>
      <c r="J423" s="115"/>
      <c r="K423" s="11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4"/>
      <c r="I424" s="115"/>
      <c r="J424" s="115"/>
      <c r="K424" s="11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4"/>
      <c r="I425" s="115"/>
      <c r="J425" s="115"/>
      <c r="K425" s="11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4"/>
      <c r="I426" s="115"/>
      <c r="J426" s="115"/>
      <c r="K426" s="11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4"/>
      <c r="I427" s="115"/>
      <c r="J427" s="115"/>
      <c r="K427" s="11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4"/>
      <c r="I428" s="115"/>
      <c r="J428" s="115"/>
      <c r="K428" s="11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4"/>
      <c r="I429" s="115"/>
      <c r="J429" s="115"/>
      <c r="K429" s="11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4"/>
      <c r="I430" s="115"/>
      <c r="J430" s="115"/>
      <c r="K430" s="11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4"/>
      <c r="I431" s="115"/>
      <c r="J431" s="115"/>
      <c r="K431" s="11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4"/>
      <c r="I432" s="115"/>
      <c r="J432" s="115"/>
      <c r="K432" s="11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4"/>
      <c r="I433" s="115"/>
      <c r="J433" s="115"/>
      <c r="K433" s="11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4"/>
      <c r="I434" s="115"/>
      <c r="J434" s="115"/>
      <c r="K434" s="11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4"/>
      <c r="I435" s="115"/>
      <c r="J435" s="115"/>
      <c r="K435" s="11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4"/>
      <c r="I436" s="115"/>
      <c r="J436" s="115"/>
      <c r="K436" s="11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4"/>
      <c r="I437" s="115"/>
      <c r="J437" s="115"/>
      <c r="K437" s="11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4"/>
      <c r="I438" s="115"/>
      <c r="J438" s="115"/>
      <c r="K438" s="11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4"/>
      <c r="I439" s="115"/>
      <c r="J439" s="115"/>
      <c r="K439" s="11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4"/>
      <c r="I440" s="115"/>
      <c r="J440" s="115"/>
      <c r="K440" s="11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4"/>
      <c r="I441" s="115"/>
      <c r="J441" s="115"/>
      <c r="K441" s="11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4"/>
      <c r="I442" s="115"/>
      <c r="J442" s="115"/>
      <c r="K442" s="11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4"/>
      <c r="I443" s="115"/>
      <c r="J443" s="115"/>
      <c r="K443" s="11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4"/>
      <c r="I444" s="115"/>
      <c r="J444" s="115"/>
      <c r="K444" s="11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4"/>
      <c r="I445" s="115"/>
      <c r="J445" s="115"/>
      <c r="K445" s="11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4"/>
      <c r="I446" s="115"/>
      <c r="J446" s="115"/>
      <c r="K446" s="11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4"/>
      <c r="I447" s="115"/>
      <c r="J447" s="115"/>
      <c r="K447" s="11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4"/>
      <c r="I448" s="115"/>
      <c r="J448" s="115"/>
      <c r="K448" s="11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4"/>
      <c r="I449" s="115"/>
      <c r="J449" s="115"/>
      <c r="K449" s="11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4"/>
      <c r="I450" s="115"/>
      <c r="J450" s="115"/>
      <c r="K450" s="11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4"/>
      <c r="I451" s="115"/>
      <c r="J451" s="115"/>
      <c r="K451" s="11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4"/>
      <c r="I452" s="115"/>
      <c r="J452" s="115"/>
      <c r="K452" s="11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4"/>
      <c r="I453" s="115"/>
      <c r="J453" s="115"/>
      <c r="K453" s="11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4"/>
      <c r="I454" s="115"/>
      <c r="J454" s="115"/>
      <c r="K454" s="11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4"/>
      <c r="I455" s="115"/>
      <c r="J455" s="115"/>
      <c r="K455" s="11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4"/>
      <c r="I456" s="115"/>
      <c r="J456" s="115"/>
      <c r="K456" s="11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4"/>
      <c r="I457" s="115"/>
      <c r="J457" s="115"/>
      <c r="K457" s="11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4"/>
      <c r="I458" s="115"/>
      <c r="J458" s="115"/>
      <c r="K458" s="11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4"/>
      <c r="I459" s="115"/>
      <c r="J459" s="115"/>
      <c r="K459" s="11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4"/>
      <c r="I460" s="115"/>
      <c r="J460" s="115"/>
      <c r="K460" s="11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4"/>
      <c r="I461" s="115"/>
      <c r="J461" s="115"/>
      <c r="K461" s="11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4"/>
      <c r="I462" s="115"/>
      <c r="J462" s="115"/>
      <c r="K462" s="11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4"/>
      <c r="I463" s="115"/>
      <c r="J463" s="115"/>
      <c r="K463" s="11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4"/>
      <c r="I464" s="115"/>
      <c r="J464" s="115"/>
      <c r="K464" s="11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4"/>
      <c r="I465" s="115"/>
      <c r="J465" s="115"/>
      <c r="K465" s="11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4"/>
      <c r="I466" s="115"/>
      <c r="J466" s="115"/>
      <c r="K466" s="11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4"/>
      <c r="I467" s="115"/>
      <c r="J467" s="115"/>
      <c r="K467" s="11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4"/>
      <c r="I468" s="115"/>
      <c r="J468" s="115"/>
      <c r="K468" s="11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4"/>
      <c r="I469" s="115"/>
      <c r="J469" s="115"/>
      <c r="K469" s="11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4"/>
      <c r="I470" s="115"/>
      <c r="J470" s="115"/>
      <c r="K470" s="11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4"/>
      <c r="I471" s="115"/>
      <c r="J471" s="115"/>
      <c r="K471" s="11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4"/>
      <c r="I472" s="115"/>
      <c r="J472" s="115"/>
      <c r="K472" s="11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4"/>
      <c r="I473" s="115"/>
      <c r="J473" s="115"/>
      <c r="K473" s="11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4"/>
      <c r="I474" s="115"/>
      <c r="J474" s="115"/>
      <c r="K474" s="11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4"/>
      <c r="I475" s="115"/>
      <c r="J475" s="115"/>
      <c r="K475" s="11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4"/>
      <c r="I476" s="115"/>
      <c r="J476" s="115"/>
      <c r="K476" s="11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4"/>
      <c r="I477" s="115"/>
      <c r="J477" s="115"/>
      <c r="K477" s="11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4"/>
      <c r="I478" s="115"/>
      <c r="J478" s="115"/>
      <c r="K478" s="11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4"/>
      <c r="I479" s="115"/>
      <c r="J479" s="115"/>
      <c r="K479" s="11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4"/>
      <c r="I480" s="115"/>
      <c r="J480" s="115"/>
      <c r="K480" s="11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4"/>
      <c r="I481" s="115"/>
      <c r="J481" s="115"/>
      <c r="K481" s="11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4"/>
      <c r="I482" s="115"/>
      <c r="J482" s="115"/>
      <c r="K482" s="11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4"/>
      <c r="I483" s="115"/>
      <c r="J483" s="115"/>
      <c r="K483" s="11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4"/>
      <c r="I484" s="115"/>
      <c r="J484" s="115"/>
      <c r="K484" s="11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4"/>
      <c r="I485" s="115"/>
      <c r="J485" s="115"/>
      <c r="K485" s="11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4"/>
      <c r="I486" s="115"/>
      <c r="J486" s="115"/>
      <c r="K486" s="11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4"/>
      <c r="I487" s="115"/>
      <c r="J487" s="115"/>
      <c r="K487" s="11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4"/>
      <c r="I488" s="115"/>
      <c r="J488" s="115"/>
      <c r="K488" s="11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4"/>
      <c r="I489" s="115"/>
      <c r="J489" s="115"/>
      <c r="K489" s="11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4"/>
      <c r="I490" s="115"/>
      <c r="J490" s="115"/>
      <c r="K490" s="11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4"/>
      <c r="I491" s="115"/>
      <c r="J491" s="115"/>
      <c r="K491" s="11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4"/>
      <c r="I492" s="115"/>
      <c r="J492" s="115"/>
      <c r="K492" s="11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4"/>
      <c r="I493" s="115"/>
      <c r="J493" s="115"/>
      <c r="K493" s="11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4"/>
      <c r="I494" s="115"/>
      <c r="J494" s="115"/>
      <c r="K494" s="11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4"/>
      <c r="I495" s="115"/>
      <c r="J495" s="115"/>
      <c r="K495" s="11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4"/>
      <c r="I496" s="115"/>
      <c r="J496" s="115"/>
      <c r="K496" s="11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4"/>
      <c r="I497" s="115"/>
      <c r="J497" s="115"/>
      <c r="K497" s="11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4"/>
      <c r="I498" s="115"/>
      <c r="J498" s="115"/>
      <c r="K498" s="11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4"/>
      <c r="I499" s="115"/>
      <c r="J499" s="115"/>
      <c r="K499" s="11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4"/>
      <c r="I500" s="115"/>
      <c r="J500" s="115"/>
      <c r="K500" s="11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4"/>
      <c r="I501" s="115"/>
      <c r="J501" s="115"/>
      <c r="K501" s="11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4"/>
      <c r="I502" s="115"/>
      <c r="J502" s="115"/>
      <c r="K502" s="11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4"/>
      <c r="I503" s="115"/>
      <c r="J503" s="115"/>
      <c r="K503" s="11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4"/>
      <c r="I504" s="115"/>
      <c r="J504" s="115"/>
      <c r="K504" s="11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4"/>
      <c r="I505" s="115"/>
      <c r="J505" s="115"/>
      <c r="K505" s="11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4"/>
      <c r="I506" s="115"/>
      <c r="J506" s="115"/>
      <c r="K506" s="11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4"/>
      <c r="I507" s="115"/>
      <c r="J507" s="115"/>
      <c r="K507" s="11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4"/>
      <c r="I508" s="115"/>
      <c r="J508" s="115"/>
      <c r="K508" s="11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4"/>
      <c r="I509" s="115"/>
      <c r="J509" s="115"/>
      <c r="K509" s="11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4"/>
      <c r="I510" s="115"/>
      <c r="J510" s="115"/>
      <c r="K510" s="11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4"/>
      <c r="I511" s="115"/>
      <c r="J511" s="115"/>
      <c r="K511" s="11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4"/>
      <c r="I512" s="115"/>
      <c r="J512" s="115"/>
      <c r="K512" s="11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4"/>
      <c r="I513" s="115"/>
      <c r="J513" s="115"/>
      <c r="K513" s="11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4"/>
      <c r="I514" s="115"/>
      <c r="J514" s="115"/>
      <c r="K514" s="11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4"/>
      <c r="I515" s="115"/>
      <c r="J515" s="115"/>
      <c r="K515" s="11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4"/>
      <c r="I516" s="115"/>
      <c r="J516" s="115"/>
      <c r="K516" s="11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4"/>
      <c r="I517" s="115"/>
      <c r="J517" s="115"/>
      <c r="K517" s="11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4"/>
      <c r="I518" s="115"/>
      <c r="J518" s="115"/>
      <c r="K518" s="11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4"/>
      <c r="I519" s="115"/>
      <c r="J519" s="115"/>
      <c r="K519" s="11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4"/>
      <c r="I520" s="115"/>
      <c r="J520" s="115"/>
      <c r="K520" s="11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4"/>
      <c r="I521" s="115"/>
      <c r="J521" s="115"/>
      <c r="K521" s="11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4"/>
      <c r="I522" s="115"/>
      <c r="J522" s="115"/>
      <c r="K522" s="11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4"/>
      <c r="I523" s="115"/>
      <c r="J523" s="115"/>
      <c r="K523" s="11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4"/>
      <c r="I524" s="115"/>
      <c r="J524" s="115"/>
      <c r="K524" s="11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4"/>
      <c r="I525" s="115"/>
      <c r="J525" s="115"/>
      <c r="K525" s="11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4"/>
      <c r="I526" s="115"/>
      <c r="J526" s="115"/>
      <c r="K526" s="11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4"/>
      <c r="I527" s="115"/>
      <c r="J527" s="115"/>
      <c r="K527" s="11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4"/>
      <c r="I528" s="115"/>
      <c r="J528" s="115"/>
      <c r="K528" s="11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4"/>
      <c r="I529" s="115"/>
      <c r="J529" s="115"/>
      <c r="K529" s="11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4"/>
      <c r="I530" s="115"/>
      <c r="J530" s="115"/>
      <c r="K530" s="11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4"/>
      <c r="I531" s="115"/>
      <c r="J531" s="115"/>
      <c r="K531" s="11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4"/>
      <c r="I532" s="115"/>
      <c r="J532" s="115"/>
      <c r="K532" s="11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4"/>
      <c r="I533" s="115"/>
      <c r="J533" s="115"/>
      <c r="K533" s="11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4"/>
      <c r="I534" s="115"/>
      <c r="J534" s="115"/>
      <c r="K534" s="11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4"/>
      <c r="I535" s="115"/>
      <c r="J535" s="115"/>
      <c r="K535" s="11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4"/>
      <c r="I536" s="115"/>
      <c r="J536" s="115"/>
      <c r="K536" s="11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4"/>
      <c r="I537" s="115"/>
      <c r="J537" s="115"/>
      <c r="K537" s="11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4"/>
      <c r="I538" s="115"/>
      <c r="J538" s="115"/>
      <c r="K538" s="11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4"/>
      <c r="I539" s="115"/>
      <c r="J539" s="115"/>
      <c r="K539" s="11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4"/>
      <c r="I540" s="115"/>
      <c r="J540" s="115"/>
      <c r="K540" s="11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4"/>
      <c r="I541" s="115"/>
      <c r="J541" s="115"/>
      <c r="K541" s="11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4"/>
      <c r="I542" s="115"/>
      <c r="J542" s="115"/>
      <c r="K542" s="11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4"/>
      <c r="I543" s="115"/>
      <c r="J543" s="115"/>
      <c r="K543" s="11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4"/>
      <c r="I544" s="115"/>
      <c r="J544" s="115"/>
      <c r="K544" s="11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4"/>
      <c r="I545" s="115"/>
      <c r="J545" s="115"/>
      <c r="K545" s="11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4"/>
      <c r="I546" s="115"/>
      <c r="J546" s="115"/>
      <c r="K546" s="11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4"/>
      <c r="I547" s="115"/>
      <c r="J547" s="115"/>
      <c r="K547" s="11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4"/>
      <c r="I548" s="115"/>
      <c r="J548" s="115"/>
      <c r="K548" s="11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4"/>
      <c r="I549" s="115"/>
      <c r="J549" s="115"/>
      <c r="K549" s="11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4"/>
      <c r="I550" s="115"/>
      <c r="J550" s="115"/>
      <c r="K550" s="11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4"/>
      <c r="I551" s="115"/>
      <c r="J551" s="115"/>
      <c r="K551" s="11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4"/>
      <c r="I552" s="115"/>
      <c r="J552" s="115"/>
      <c r="K552" s="11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4"/>
      <c r="I553" s="115"/>
      <c r="J553" s="115"/>
      <c r="K553" s="11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4"/>
      <c r="I554" s="115"/>
      <c r="J554" s="115"/>
      <c r="K554" s="11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4"/>
      <c r="I555" s="115"/>
      <c r="J555" s="115"/>
      <c r="K555" s="11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4"/>
      <c r="I556" s="115"/>
      <c r="J556" s="115"/>
      <c r="K556" s="11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4"/>
      <c r="I557" s="115"/>
      <c r="J557" s="115"/>
      <c r="K557" s="11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4"/>
      <c r="I558" s="115"/>
      <c r="J558" s="115"/>
      <c r="K558" s="11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4"/>
      <c r="I559" s="115"/>
      <c r="J559" s="115"/>
      <c r="K559" s="11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4"/>
      <c r="I560" s="115"/>
      <c r="J560" s="115"/>
      <c r="K560" s="11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4"/>
      <c r="I561" s="115"/>
      <c r="J561" s="115"/>
      <c r="K561" s="11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4"/>
      <c r="I562" s="115"/>
      <c r="J562" s="115"/>
      <c r="K562" s="11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4"/>
      <c r="I563" s="115"/>
      <c r="J563" s="115"/>
      <c r="K563" s="11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4"/>
      <c r="I564" s="115"/>
      <c r="J564" s="115"/>
      <c r="K564" s="11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4"/>
      <c r="I565" s="115"/>
      <c r="J565" s="115"/>
      <c r="K565" s="11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4"/>
      <c r="I566" s="115"/>
      <c r="J566" s="115"/>
      <c r="K566" s="11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4"/>
      <c r="I567" s="115"/>
      <c r="J567" s="115"/>
      <c r="K567" s="11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4"/>
      <c r="I568" s="115"/>
      <c r="J568" s="115"/>
      <c r="K568" s="11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4"/>
      <c r="I569" s="115"/>
      <c r="J569" s="115"/>
      <c r="K569" s="11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4"/>
      <c r="I570" s="115"/>
      <c r="J570" s="115"/>
      <c r="K570" s="11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4"/>
      <c r="I571" s="115"/>
      <c r="J571" s="115"/>
      <c r="K571" s="11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4"/>
      <c r="I572" s="115"/>
      <c r="J572" s="115"/>
      <c r="K572" s="11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4"/>
      <c r="I573" s="115"/>
      <c r="J573" s="115"/>
      <c r="K573" s="11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4"/>
      <c r="I574" s="115"/>
      <c r="J574" s="115"/>
      <c r="K574" s="11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4"/>
      <c r="I575" s="115"/>
      <c r="J575" s="115"/>
      <c r="K575" s="11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4"/>
      <c r="I576" s="115"/>
      <c r="J576" s="115"/>
      <c r="K576" s="11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4"/>
      <c r="I577" s="115"/>
      <c r="J577" s="115"/>
      <c r="K577" s="11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4"/>
      <c r="I578" s="115"/>
      <c r="J578" s="115"/>
      <c r="K578" s="11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4"/>
      <c r="I579" s="115"/>
      <c r="J579" s="115"/>
      <c r="K579" s="11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4"/>
      <c r="I580" s="115"/>
      <c r="J580" s="115"/>
      <c r="K580" s="11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4"/>
      <c r="I581" s="115"/>
      <c r="J581" s="115"/>
      <c r="K581" s="11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4"/>
      <c r="I582" s="115"/>
      <c r="J582" s="115"/>
      <c r="K582" s="11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4"/>
      <c r="I583" s="115"/>
      <c r="J583" s="115"/>
      <c r="K583" s="11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4"/>
      <c r="I584" s="115"/>
      <c r="J584" s="115"/>
      <c r="K584" s="11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4"/>
      <c r="I585" s="115"/>
      <c r="J585" s="115"/>
      <c r="K585" s="11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4"/>
      <c r="I586" s="115"/>
      <c r="J586" s="115"/>
      <c r="K586" s="11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4"/>
      <c r="I587" s="115"/>
      <c r="J587" s="115"/>
      <c r="K587" s="11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4"/>
      <c r="I588" s="115"/>
      <c r="J588" s="115"/>
      <c r="K588" s="11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4"/>
      <c r="I589" s="115"/>
      <c r="J589" s="115"/>
      <c r="K589" s="11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4"/>
      <c r="I590" s="115"/>
      <c r="J590" s="115"/>
      <c r="K590" s="11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4"/>
      <c r="I591" s="115"/>
      <c r="J591" s="115"/>
      <c r="K591" s="11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4"/>
      <c r="I592" s="115"/>
      <c r="J592" s="115"/>
      <c r="K592" s="11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4"/>
      <c r="I593" s="115"/>
      <c r="J593" s="115"/>
      <c r="K593" s="11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4"/>
      <c r="I594" s="115"/>
      <c r="J594" s="115"/>
      <c r="K594" s="11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4"/>
      <c r="I595" s="115"/>
      <c r="J595" s="115"/>
      <c r="K595" s="11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4"/>
      <c r="I596" s="115"/>
      <c r="J596" s="115"/>
      <c r="K596" s="11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4"/>
      <c r="I597" s="115"/>
      <c r="J597" s="115"/>
      <c r="K597" s="11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4"/>
      <c r="I598" s="115"/>
      <c r="J598" s="115"/>
      <c r="K598" s="11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4"/>
      <c r="I599" s="115"/>
      <c r="J599" s="115"/>
      <c r="K599" s="11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4"/>
      <c r="I600" s="115"/>
      <c r="J600" s="115"/>
      <c r="K600" s="11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4"/>
      <c r="I601" s="115"/>
      <c r="J601" s="115"/>
      <c r="K601" s="11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4"/>
      <c r="I602" s="115"/>
      <c r="J602" s="115"/>
      <c r="K602" s="11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4"/>
      <c r="I603" s="115"/>
      <c r="J603" s="115"/>
      <c r="K603" s="11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4"/>
      <c r="I604" s="115"/>
      <c r="J604" s="115"/>
      <c r="K604" s="11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4"/>
      <c r="I605" s="115"/>
      <c r="J605" s="115"/>
      <c r="K605" s="11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4"/>
      <c r="I606" s="115"/>
      <c r="J606" s="115"/>
      <c r="K606" s="11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4"/>
      <c r="I607" s="115"/>
      <c r="J607" s="115"/>
      <c r="K607" s="11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4"/>
      <c r="I608" s="115"/>
      <c r="J608" s="115"/>
      <c r="K608" s="11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4"/>
      <c r="I609" s="115"/>
      <c r="J609" s="115"/>
      <c r="K609" s="11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4"/>
      <c r="I610" s="115"/>
      <c r="J610" s="115"/>
      <c r="K610" s="11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4"/>
      <c r="I611" s="115"/>
      <c r="J611" s="115"/>
      <c r="K611" s="11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4"/>
      <c r="I612" s="115"/>
      <c r="J612" s="115"/>
      <c r="K612" s="11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4"/>
      <c r="I613" s="115"/>
      <c r="J613" s="115"/>
      <c r="K613" s="11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4"/>
      <c r="I614" s="115"/>
      <c r="J614" s="115"/>
      <c r="K614" s="11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4"/>
      <c r="I615" s="115"/>
      <c r="J615" s="115"/>
      <c r="K615" s="11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4"/>
      <c r="I616" s="115"/>
      <c r="J616" s="115"/>
      <c r="K616" s="11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4"/>
      <c r="I617" s="115"/>
      <c r="J617" s="115"/>
      <c r="K617" s="11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4"/>
      <c r="I618" s="115"/>
      <c r="J618" s="115"/>
      <c r="K618" s="11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4"/>
      <c r="I619" s="115"/>
      <c r="J619" s="115"/>
      <c r="K619" s="11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4"/>
      <c r="I620" s="115"/>
      <c r="J620" s="115"/>
      <c r="K620" s="11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4"/>
      <c r="I621" s="115"/>
      <c r="J621" s="115"/>
      <c r="K621" s="11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4"/>
      <c r="I622" s="115"/>
      <c r="J622" s="115"/>
      <c r="K622" s="11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4"/>
      <c r="I623" s="115"/>
      <c r="J623" s="115"/>
      <c r="K623" s="11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4"/>
      <c r="I624" s="115"/>
      <c r="J624" s="115"/>
      <c r="K624" s="11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4"/>
      <c r="I625" s="115"/>
      <c r="J625" s="115"/>
      <c r="K625" s="11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4"/>
      <c r="I626" s="115"/>
      <c r="J626" s="115"/>
      <c r="K626" s="11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4"/>
      <c r="I627" s="115"/>
      <c r="J627" s="115"/>
      <c r="K627" s="11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4"/>
      <c r="I628" s="115"/>
      <c r="J628" s="115"/>
      <c r="K628" s="11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4"/>
      <c r="I629" s="115"/>
      <c r="J629" s="115"/>
      <c r="K629" s="11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4"/>
      <c r="I630" s="115"/>
      <c r="J630" s="115"/>
      <c r="K630" s="11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4"/>
      <c r="I631" s="115"/>
      <c r="J631" s="115"/>
      <c r="K631" s="11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4"/>
      <c r="I632" s="115"/>
      <c r="J632" s="115"/>
      <c r="K632" s="11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4"/>
      <c r="I633" s="115"/>
      <c r="J633" s="115"/>
      <c r="K633" s="11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4"/>
      <c r="I634" s="115"/>
      <c r="J634" s="115"/>
      <c r="K634" s="11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4"/>
      <c r="I635" s="115"/>
      <c r="J635" s="115"/>
      <c r="K635" s="11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4"/>
      <c r="I636" s="115"/>
      <c r="J636" s="115"/>
      <c r="K636" s="11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4"/>
      <c r="I637" s="115"/>
      <c r="J637" s="115"/>
      <c r="K637" s="11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4"/>
      <c r="I638" s="115"/>
      <c r="J638" s="115"/>
      <c r="K638" s="11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4"/>
      <c r="I639" s="115"/>
      <c r="J639" s="115"/>
      <c r="K639" s="11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4"/>
      <c r="I640" s="115"/>
      <c r="J640" s="115"/>
      <c r="K640" s="11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4"/>
      <c r="I641" s="115"/>
      <c r="J641" s="115"/>
      <c r="K641" s="11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4"/>
      <c r="I642" s="115"/>
      <c r="J642" s="115"/>
      <c r="K642" s="11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4"/>
      <c r="I643" s="115"/>
      <c r="J643" s="115"/>
      <c r="K643" s="11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4"/>
      <c r="I644" s="115"/>
      <c r="J644" s="115"/>
      <c r="K644" s="11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4"/>
      <c r="I645" s="115"/>
      <c r="J645" s="115"/>
      <c r="K645" s="11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4"/>
      <c r="I646" s="115"/>
      <c r="J646" s="115"/>
      <c r="K646" s="11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4"/>
      <c r="I647" s="115"/>
      <c r="J647" s="115"/>
      <c r="K647" s="11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4"/>
      <c r="I648" s="115"/>
      <c r="J648" s="115"/>
      <c r="K648" s="11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4"/>
      <c r="I649" s="115"/>
      <c r="J649" s="115"/>
      <c r="K649" s="11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4"/>
      <c r="I650" s="115"/>
      <c r="J650" s="115"/>
      <c r="K650" s="11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4"/>
      <c r="I651" s="115"/>
      <c r="J651" s="115"/>
      <c r="K651" s="11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4"/>
      <c r="I652" s="115"/>
      <c r="J652" s="115"/>
      <c r="K652" s="11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4"/>
      <c r="I653" s="115"/>
      <c r="J653" s="115"/>
      <c r="K653" s="11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4"/>
      <c r="I654" s="115"/>
      <c r="J654" s="115"/>
      <c r="K654" s="11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4"/>
      <c r="I655" s="115"/>
      <c r="J655" s="115"/>
      <c r="K655" s="11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4"/>
      <c r="I656" s="115"/>
      <c r="J656" s="115"/>
      <c r="K656" s="11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4"/>
      <c r="I657" s="115"/>
      <c r="J657" s="115"/>
      <c r="K657" s="11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4"/>
      <c r="I658" s="115"/>
      <c r="J658" s="115"/>
      <c r="K658" s="11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4"/>
      <c r="I659" s="115"/>
      <c r="J659" s="115"/>
      <c r="K659" s="11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4"/>
      <c r="I660" s="115"/>
      <c r="J660" s="115"/>
      <c r="K660" s="11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4"/>
      <c r="I661" s="115"/>
      <c r="J661" s="115"/>
      <c r="K661" s="11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4"/>
      <c r="I662" s="115"/>
      <c r="J662" s="115"/>
      <c r="K662" s="11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4"/>
      <c r="I663" s="115"/>
      <c r="J663" s="115"/>
      <c r="K663" s="11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4"/>
      <c r="I664" s="115"/>
      <c r="J664" s="115"/>
      <c r="K664" s="11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4"/>
      <c r="I665" s="115"/>
      <c r="J665" s="115"/>
      <c r="K665" s="11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4"/>
      <c r="I666" s="115"/>
      <c r="J666" s="115"/>
      <c r="K666" s="11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4"/>
      <c r="I667" s="115"/>
      <c r="J667" s="115"/>
      <c r="K667" s="11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4"/>
      <c r="I668" s="115"/>
      <c r="J668" s="115"/>
      <c r="K668" s="11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4"/>
      <c r="I669" s="115"/>
      <c r="J669" s="115"/>
      <c r="K669" s="11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4"/>
      <c r="I670" s="115"/>
      <c r="J670" s="115"/>
      <c r="K670" s="11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4"/>
      <c r="I671" s="115"/>
      <c r="J671" s="115"/>
      <c r="K671" s="11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4"/>
      <c r="I672" s="115"/>
      <c r="J672" s="115"/>
      <c r="K672" s="11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4"/>
      <c r="I673" s="115"/>
      <c r="J673" s="115"/>
      <c r="K673" s="11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4"/>
      <c r="I674" s="115"/>
      <c r="J674" s="115"/>
      <c r="K674" s="11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4"/>
      <c r="I675" s="115"/>
      <c r="J675" s="115"/>
      <c r="K675" s="11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4"/>
      <c r="I676" s="115"/>
      <c r="J676" s="115"/>
      <c r="K676" s="11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4"/>
      <c r="I677" s="115"/>
      <c r="J677" s="115"/>
      <c r="K677" s="11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4"/>
      <c r="I678" s="115"/>
      <c r="J678" s="115"/>
      <c r="K678" s="11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4"/>
      <c r="I679" s="115"/>
      <c r="J679" s="115"/>
      <c r="K679" s="11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4"/>
      <c r="I680" s="115"/>
      <c r="J680" s="115"/>
      <c r="K680" s="11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4"/>
      <c r="I681" s="115"/>
      <c r="J681" s="115"/>
      <c r="K681" s="11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4"/>
      <c r="I682" s="115"/>
      <c r="J682" s="115"/>
      <c r="K682" s="11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4"/>
      <c r="I683" s="115"/>
      <c r="J683" s="115"/>
      <c r="K683" s="11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4"/>
      <c r="I684" s="115"/>
      <c r="J684" s="115"/>
      <c r="K684" s="11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4"/>
      <c r="I685" s="115"/>
      <c r="J685" s="115"/>
      <c r="K685" s="11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4"/>
      <c r="I686" s="115"/>
      <c r="J686" s="115"/>
      <c r="K686" s="11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4"/>
      <c r="I687" s="115"/>
      <c r="J687" s="115"/>
      <c r="K687" s="11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4"/>
      <c r="I688" s="115"/>
      <c r="J688" s="115"/>
      <c r="K688" s="11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4"/>
      <c r="I689" s="115"/>
      <c r="J689" s="115"/>
      <c r="K689" s="11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4"/>
      <c r="I690" s="115"/>
      <c r="J690" s="115"/>
      <c r="K690" s="11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4"/>
      <c r="I691" s="115"/>
      <c r="J691" s="115"/>
      <c r="K691" s="11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4"/>
      <c r="I692" s="115"/>
      <c r="J692" s="115"/>
      <c r="K692" s="11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4"/>
      <c r="I693" s="115"/>
      <c r="J693" s="115"/>
      <c r="K693" s="11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4"/>
      <c r="I694" s="115"/>
      <c r="J694" s="115"/>
      <c r="K694" s="11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4"/>
      <c r="I695" s="115"/>
      <c r="J695" s="115"/>
      <c r="K695" s="11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4"/>
      <c r="I696" s="115"/>
      <c r="J696" s="115"/>
      <c r="K696" s="11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4"/>
      <c r="I697" s="115"/>
      <c r="J697" s="115"/>
      <c r="K697" s="11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4"/>
      <c r="I698" s="115"/>
      <c r="J698" s="115"/>
      <c r="K698" s="11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4"/>
      <c r="I699" s="115"/>
      <c r="J699" s="115"/>
      <c r="K699" s="11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4"/>
      <c r="I700" s="115"/>
      <c r="J700" s="115"/>
      <c r="K700" s="11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4"/>
      <c r="I701" s="115"/>
      <c r="J701" s="115"/>
      <c r="K701" s="11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4"/>
      <c r="I702" s="115"/>
      <c r="J702" s="115"/>
      <c r="K702" s="11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4"/>
      <c r="I703" s="115"/>
      <c r="J703" s="115"/>
      <c r="K703" s="11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4"/>
      <c r="I704" s="115"/>
      <c r="J704" s="115"/>
      <c r="K704" s="11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4"/>
      <c r="I705" s="115"/>
      <c r="J705" s="115"/>
      <c r="K705" s="11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4"/>
      <c r="I706" s="115"/>
      <c r="J706" s="115"/>
      <c r="K706" s="11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4"/>
      <c r="I707" s="115"/>
      <c r="J707" s="115"/>
      <c r="K707" s="11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4"/>
      <c r="I708" s="115"/>
      <c r="J708" s="115"/>
      <c r="K708" s="11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4"/>
      <c r="I709" s="115"/>
      <c r="J709" s="115"/>
      <c r="K709" s="11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4"/>
      <c r="I710" s="115"/>
      <c r="J710" s="115"/>
      <c r="K710" s="11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4"/>
      <c r="I711" s="115"/>
      <c r="J711" s="115"/>
      <c r="K711" s="11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4"/>
      <c r="I712" s="115"/>
      <c r="J712" s="115"/>
      <c r="K712" s="11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4"/>
      <c r="I713" s="115"/>
      <c r="J713" s="115"/>
      <c r="K713" s="11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4"/>
      <c r="I714" s="115"/>
      <c r="J714" s="115"/>
      <c r="K714" s="11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4"/>
      <c r="I715" s="115"/>
      <c r="J715" s="115"/>
      <c r="K715" s="11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4"/>
      <c r="I716" s="115"/>
      <c r="J716" s="115"/>
      <c r="K716" s="11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4"/>
      <c r="I717" s="115"/>
      <c r="J717" s="115"/>
      <c r="K717" s="11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4"/>
      <c r="I718" s="115"/>
      <c r="J718" s="115"/>
      <c r="K718" s="11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4"/>
      <c r="I719" s="115"/>
      <c r="J719" s="115"/>
      <c r="K719" s="11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4"/>
      <c r="I720" s="115"/>
      <c r="J720" s="115"/>
      <c r="K720" s="11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4"/>
      <c r="I721" s="115"/>
      <c r="J721" s="115"/>
      <c r="K721" s="11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4"/>
      <c r="I722" s="115"/>
      <c r="J722" s="115"/>
      <c r="K722" s="11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4"/>
      <c r="I723" s="115"/>
      <c r="J723" s="115"/>
      <c r="K723" s="11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4"/>
      <c r="I724" s="115"/>
      <c r="J724" s="115"/>
      <c r="K724" s="11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4"/>
      <c r="I725" s="115"/>
      <c r="J725" s="115"/>
      <c r="K725" s="11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4"/>
      <c r="I726" s="115"/>
      <c r="J726" s="115"/>
      <c r="K726" s="11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4"/>
      <c r="I727" s="115"/>
      <c r="J727" s="115"/>
      <c r="K727" s="11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4"/>
      <c r="I728" s="115"/>
      <c r="J728" s="115"/>
      <c r="K728" s="11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4"/>
      <c r="I729" s="115"/>
      <c r="J729" s="115"/>
      <c r="K729" s="11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4"/>
      <c r="I730" s="115"/>
      <c r="J730" s="115"/>
      <c r="K730" s="11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4"/>
      <c r="I731" s="115"/>
      <c r="J731" s="115"/>
      <c r="K731" s="11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4"/>
      <c r="I732" s="115"/>
      <c r="J732" s="115"/>
      <c r="K732" s="11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4"/>
      <c r="I733" s="115"/>
      <c r="J733" s="115"/>
      <c r="K733" s="11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4"/>
      <c r="I734" s="115"/>
      <c r="J734" s="115"/>
      <c r="K734" s="11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4"/>
      <c r="I735" s="115"/>
      <c r="J735" s="115"/>
      <c r="K735" s="11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4"/>
      <c r="I736" s="115"/>
      <c r="J736" s="115"/>
      <c r="K736" s="11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4"/>
      <c r="I737" s="115"/>
      <c r="J737" s="115"/>
      <c r="K737" s="11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4"/>
      <c r="I738" s="115"/>
      <c r="J738" s="115"/>
      <c r="K738" s="11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4"/>
      <c r="I739" s="115"/>
      <c r="J739" s="115"/>
      <c r="K739" s="11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4"/>
      <c r="I740" s="115"/>
      <c r="J740" s="115"/>
      <c r="K740" s="11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4"/>
      <c r="I741" s="115"/>
      <c r="J741" s="115"/>
      <c r="K741" s="11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4"/>
      <c r="I742" s="115"/>
      <c r="J742" s="115"/>
      <c r="K742" s="11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4"/>
      <c r="I743" s="115"/>
      <c r="J743" s="115"/>
      <c r="K743" s="11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4"/>
      <c r="I744" s="115"/>
      <c r="J744" s="115"/>
      <c r="K744" s="11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4"/>
      <c r="I745" s="115"/>
      <c r="J745" s="115"/>
      <c r="K745" s="11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4"/>
      <c r="I746" s="115"/>
      <c r="J746" s="115"/>
      <c r="K746" s="11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4"/>
      <c r="I747" s="115"/>
      <c r="J747" s="115"/>
      <c r="K747" s="11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4"/>
      <c r="I748" s="115"/>
      <c r="J748" s="115"/>
      <c r="K748" s="11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4"/>
      <c r="I749" s="115"/>
      <c r="J749" s="115"/>
      <c r="K749" s="11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4"/>
      <c r="I750" s="115"/>
      <c r="J750" s="115"/>
      <c r="K750" s="11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4"/>
      <c r="I751" s="115"/>
      <c r="J751" s="115"/>
      <c r="K751" s="11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4"/>
      <c r="I752" s="115"/>
      <c r="J752" s="115"/>
      <c r="K752" s="11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4"/>
      <c r="I753" s="115"/>
      <c r="J753" s="115"/>
      <c r="K753" s="11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4"/>
      <c r="I754" s="115"/>
      <c r="J754" s="115"/>
      <c r="K754" s="11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4"/>
      <c r="I755" s="115"/>
      <c r="J755" s="115"/>
      <c r="K755" s="11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4"/>
      <c r="I756" s="115"/>
      <c r="J756" s="115"/>
      <c r="K756" s="11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4"/>
      <c r="I757" s="115"/>
      <c r="J757" s="115"/>
      <c r="K757" s="11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4"/>
      <c r="I758" s="115"/>
      <c r="J758" s="115"/>
      <c r="K758" s="11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4"/>
      <c r="I759" s="115"/>
      <c r="J759" s="115"/>
      <c r="K759" s="11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4"/>
      <c r="I760" s="115"/>
      <c r="J760" s="115"/>
      <c r="K760" s="11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4"/>
      <c r="I761" s="115"/>
      <c r="J761" s="115"/>
      <c r="K761" s="11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4"/>
      <c r="I762" s="115"/>
      <c r="J762" s="115"/>
      <c r="K762" s="11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4"/>
      <c r="I763" s="115"/>
      <c r="J763" s="115"/>
      <c r="K763" s="11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4"/>
      <c r="I764" s="115"/>
      <c r="J764" s="115"/>
      <c r="K764" s="11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4"/>
      <c r="I765" s="115"/>
      <c r="J765" s="115"/>
      <c r="K765" s="11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4"/>
      <c r="I766" s="115"/>
      <c r="J766" s="115"/>
      <c r="K766" s="11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4"/>
      <c r="I767" s="115"/>
      <c r="J767" s="115"/>
      <c r="K767" s="11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4"/>
      <c r="I768" s="115"/>
      <c r="J768" s="115"/>
      <c r="K768" s="11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4"/>
      <c r="I769" s="115"/>
      <c r="J769" s="115"/>
      <c r="K769" s="11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4"/>
      <c r="I770" s="115"/>
      <c r="J770" s="115"/>
      <c r="K770" s="11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4"/>
      <c r="I771" s="115"/>
      <c r="J771" s="115"/>
      <c r="K771" s="11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4"/>
      <c r="I772" s="115"/>
      <c r="J772" s="115"/>
      <c r="K772" s="11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4"/>
      <c r="I773" s="115"/>
      <c r="J773" s="115"/>
      <c r="K773" s="11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4"/>
      <c r="I774" s="115"/>
      <c r="J774" s="115"/>
      <c r="K774" s="11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4"/>
      <c r="I775" s="115"/>
      <c r="J775" s="115"/>
      <c r="K775" s="11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4"/>
      <c r="I776" s="115"/>
      <c r="J776" s="115"/>
      <c r="K776" s="11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4"/>
      <c r="I777" s="115"/>
      <c r="J777" s="115"/>
      <c r="K777" s="11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4"/>
      <c r="I778" s="115"/>
      <c r="J778" s="115"/>
      <c r="K778" s="11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4"/>
      <c r="I779" s="115"/>
      <c r="J779" s="115"/>
      <c r="K779" s="11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4"/>
      <c r="I780" s="115"/>
      <c r="J780" s="115"/>
      <c r="K780" s="11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4"/>
      <c r="I781" s="115"/>
      <c r="J781" s="115"/>
      <c r="K781" s="11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4"/>
      <c r="I782" s="115"/>
      <c r="J782" s="115"/>
      <c r="K782" s="11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4"/>
      <c r="I783" s="115"/>
      <c r="J783" s="115"/>
      <c r="K783" s="11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4"/>
      <c r="I784" s="115"/>
      <c r="J784" s="115"/>
      <c r="K784" s="11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4"/>
      <c r="I785" s="115"/>
      <c r="J785" s="115"/>
      <c r="K785" s="11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4"/>
      <c r="I786" s="115"/>
      <c r="J786" s="115"/>
      <c r="K786" s="11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4"/>
      <c r="I787" s="115"/>
      <c r="J787" s="115"/>
      <c r="K787" s="11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4"/>
      <c r="I788" s="115"/>
      <c r="J788" s="115"/>
      <c r="K788" s="11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4"/>
      <c r="I789" s="115"/>
      <c r="J789" s="115"/>
      <c r="K789" s="11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4"/>
      <c r="I790" s="115"/>
      <c r="J790" s="115"/>
      <c r="K790" s="11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4"/>
      <c r="I791" s="115"/>
      <c r="J791" s="115"/>
      <c r="K791" s="11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4"/>
      <c r="I792" s="115"/>
      <c r="J792" s="115"/>
      <c r="K792" s="11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4"/>
      <c r="I793" s="115"/>
      <c r="J793" s="115"/>
      <c r="K793" s="11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4"/>
      <c r="I794" s="115"/>
      <c r="J794" s="115"/>
      <c r="K794" s="11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4"/>
      <c r="I795" s="115"/>
      <c r="J795" s="115"/>
      <c r="K795" s="11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4"/>
      <c r="I796" s="115"/>
      <c r="J796" s="115"/>
      <c r="K796" s="11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4"/>
      <c r="I797" s="115"/>
      <c r="J797" s="115"/>
      <c r="K797" s="11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4"/>
      <c r="I798" s="115"/>
      <c r="J798" s="115"/>
      <c r="K798" s="11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4"/>
      <c r="I799" s="115"/>
      <c r="J799" s="115"/>
      <c r="K799" s="11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4"/>
      <c r="I800" s="115"/>
      <c r="J800" s="115"/>
      <c r="K800" s="11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4"/>
      <c r="I801" s="115"/>
      <c r="J801" s="115"/>
      <c r="K801" s="11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4"/>
      <c r="I802" s="115"/>
      <c r="J802" s="115"/>
      <c r="K802" s="11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4"/>
      <c r="I803" s="115"/>
      <c r="J803" s="115"/>
      <c r="K803" s="11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4"/>
      <c r="I804" s="115"/>
      <c r="J804" s="115"/>
      <c r="K804" s="11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4"/>
      <c r="I805" s="115"/>
      <c r="J805" s="115"/>
      <c r="K805" s="11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4"/>
      <c r="I806" s="115"/>
      <c r="J806" s="115"/>
      <c r="K806" s="11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4"/>
      <c r="I807" s="115"/>
      <c r="J807" s="115"/>
      <c r="K807" s="11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4"/>
      <c r="I808" s="115"/>
      <c r="J808" s="115"/>
      <c r="K808" s="11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4"/>
      <c r="I809" s="115"/>
      <c r="J809" s="115"/>
      <c r="K809" s="11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4"/>
      <c r="I810" s="115"/>
      <c r="J810" s="115"/>
      <c r="K810" s="11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4"/>
      <c r="I811" s="115"/>
      <c r="J811" s="115"/>
      <c r="K811" s="11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4"/>
      <c r="I812" s="115"/>
      <c r="J812" s="115"/>
      <c r="K812" s="11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4"/>
      <c r="I813" s="115"/>
      <c r="J813" s="115"/>
      <c r="K813" s="11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4"/>
      <c r="I814" s="115"/>
      <c r="J814" s="115"/>
      <c r="K814" s="11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4"/>
      <c r="I815" s="115"/>
      <c r="J815" s="115"/>
      <c r="K815" s="11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4"/>
      <c r="I816" s="115"/>
      <c r="J816" s="115"/>
      <c r="K816" s="11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4"/>
      <c r="I817" s="115"/>
      <c r="J817" s="115"/>
      <c r="K817" s="11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4"/>
      <c r="I818" s="115"/>
      <c r="J818" s="115"/>
      <c r="K818" s="11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4"/>
      <c r="I819" s="115"/>
      <c r="J819" s="115"/>
      <c r="K819" s="11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4"/>
      <c r="I820" s="115"/>
      <c r="J820" s="115"/>
      <c r="K820" s="11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4"/>
      <c r="I821" s="115"/>
      <c r="J821" s="115"/>
      <c r="K821" s="11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4"/>
      <c r="I822" s="115"/>
      <c r="J822" s="115"/>
      <c r="K822" s="11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4"/>
      <c r="I823" s="115"/>
      <c r="J823" s="115"/>
      <c r="K823" s="11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4"/>
      <c r="I824" s="115"/>
      <c r="J824" s="115"/>
      <c r="K824" s="11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4"/>
      <c r="I825" s="115"/>
      <c r="J825" s="115"/>
      <c r="K825" s="11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4"/>
      <c r="I826" s="115"/>
      <c r="J826" s="115"/>
      <c r="K826" s="11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4"/>
      <c r="I827" s="115"/>
      <c r="J827" s="115"/>
      <c r="K827" s="11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4"/>
      <c r="I828" s="115"/>
      <c r="J828" s="115"/>
      <c r="K828" s="11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4"/>
      <c r="I829" s="115"/>
      <c r="J829" s="115"/>
      <c r="K829" s="11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4"/>
      <c r="I830" s="115"/>
      <c r="J830" s="115"/>
      <c r="K830" s="11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4"/>
      <c r="I831" s="115"/>
      <c r="J831" s="115"/>
      <c r="K831" s="11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4"/>
      <c r="I832" s="115"/>
      <c r="J832" s="115"/>
      <c r="K832" s="11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4"/>
      <c r="I833" s="115"/>
      <c r="J833" s="115"/>
      <c r="K833" s="11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4"/>
      <c r="I834" s="115"/>
      <c r="J834" s="115"/>
      <c r="K834" s="11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4"/>
      <c r="I835" s="115"/>
      <c r="J835" s="115"/>
      <c r="K835" s="11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4"/>
      <c r="I836" s="115"/>
      <c r="J836" s="115"/>
      <c r="K836" s="11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4"/>
      <c r="I837" s="115"/>
      <c r="J837" s="115"/>
      <c r="K837" s="11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4"/>
      <c r="I838" s="115"/>
      <c r="J838" s="115"/>
      <c r="K838" s="11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4"/>
      <c r="I839" s="115"/>
      <c r="J839" s="115"/>
      <c r="K839" s="11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4"/>
      <c r="I840" s="115"/>
      <c r="J840" s="115"/>
      <c r="K840" s="11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4"/>
      <c r="I841" s="115"/>
      <c r="J841" s="115"/>
      <c r="K841" s="11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4"/>
      <c r="I842" s="115"/>
      <c r="J842" s="115"/>
      <c r="K842" s="11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4"/>
      <c r="I843" s="115"/>
      <c r="J843" s="115"/>
      <c r="K843" s="11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4"/>
      <c r="I844" s="115"/>
      <c r="J844" s="115"/>
      <c r="K844" s="11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4"/>
      <c r="I845" s="115"/>
      <c r="J845" s="115"/>
      <c r="K845" s="11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4"/>
      <c r="I846" s="115"/>
      <c r="J846" s="115"/>
      <c r="K846" s="11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4"/>
      <c r="I847" s="115"/>
      <c r="J847" s="115"/>
      <c r="K847" s="11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4"/>
      <c r="I848" s="115"/>
      <c r="J848" s="115"/>
      <c r="K848" s="11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4"/>
      <c r="I849" s="115"/>
      <c r="J849" s="115"/>
      <c r="K849" s="11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4"/>
      <c r="I850" s="115"/>
      <c r="J850" s="115"/>
      <c r="K850" s="11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4"/>
      <c r="I851" s="115"/>
      <c r="J851" s="115"/>
      <c r="K851" s="11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4"/>
      <c r="I852" s="115"/>
      <c r="J852" s="115"/>
      <c r="K852" s="11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4"/>
      <c r="I853" s="115"/>
      <c r="J853" s="115"/>
      <c r="K853" s="11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4"/>
      <c r="I854" s="115"/>
      <c r="J854" s="115"/>
      <c r="K854" s="11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4"/>
      <c r="I855" s="115"/>
      <c r="J855" s="115"/>
      <c r="K855" s="11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4"/>
      <c r="I856" s="115"/>
      <c r="J856" s="115"/>
      <c r="K856" s="11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4"/>
      <c r="I857" s="115"/>
      <c r="J857" s="115"/>
      <c r="K857" s="11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4"/>
      <c r="I858" s="115"/>
      <c r="J858" s="115"/>
      <c r="K858" s="11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4"/>
      <c r="I859" s="115"/>
      <c r="J859" s="115"/>
      <c r="K859" s="11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4"/>
      <c r="I860" s="115"/>
      <c r="J860" s="115"/>
      <c r="K860" s="11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4"/>
      <c r="I861" s="115"/>
      <c r="J861" s="115"/>
      <c r="K861" s="11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4"/>
      <c r="I862" s="115"/>
      <c r="J862" s="115"/>
      <c r="K862" s="11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4"/>
      <c r="I863" s="115"/>
      <c r="J863" s="115"/>
      <c r="K863" s="11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4"/>
      <c r="I864" s="115"/>
      <c r="J864" s="115"/>
      <c r="K864" s="11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4"/>
      <c r="I865" s="115"/>
      <c r="J865" s="115"/>
      <c r="K865" s="11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4"/>
      <c r="I866" s="115"/>
      <c r="J866" s="115"/>
      <c r="K866" s="11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4"/>
      <c r="I867" s="115"/>
      <c r="J867" s="115"/>
      <c r="K867" s="11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4"/>
      <c r="I868" s="115"/>
      <c r="J868" s="115"/>
      <c r="K868" s="11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4"/>
      <c r="I869" s="115"/>
      <c r="J869" s="115"/>
      <c r="K869" s="11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4"/>
      <c r="I870" s="115"/>
      <c r="J870" s="115"/>
      <c r="K870" s="11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4"/>
      <c r="I871" s="115"/>
      <c r="J871" s="115"/>
      <c r="K871" s="11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4"/>
      <c r="I872" s="115"/>
      <c r="J872" s="115"/>
      <c r="K872" s="11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4"/>
      <c r="I873" s="115"/>
      <c r="J873" s="115"/>
      <c r="K873" s="11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4"/>
      <c r="I874" s="115"/>
      <c r="J874" s="115"/>
      <c r="K874" s="11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4"/>
      <c r="I875" s="115"/>
      <c r="J875" s="115"/>
      <c r="K875" s="11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4"/>
      <c r="I876" s="115"/>
      <c r="J876" s="115"/>
      <c r="K876" s="11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4"/>
      <c r="I877" s="115"/>
      <c r="J877" s="115"/>
      <c r="K877" s="11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4"/>
      <c r="I878" s="115"/>
      <c r="J878" s="115"/>
      <c r="K878" s="11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4"/>
      <c r="I879" s="115"/>
      <c r="J879" s="115"/>
      <c r="K879" s="11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4"/>
      <c r="I880" s="115"/>
      <c r="J880" s="115"/>
      <c r="K880" s="11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4"/>
      <c r="I881" s="115"/>
      <c r="J881" s="115"/>
      <c r="K881" s="11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4"/>
      <c r="I882" s="115"/>
      <c r="J882" s="115"/>
      <c r="K882" s="11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4"/>
      <c r="I883" s="115"/>
      <c r="J883" s="115"/>
      <c r="K883" s="11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4"/>
      <c r="I884" s="115"/>
      <c r="J884" s="115"/>
      <c r="K884" s="11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4"/>
      <c r="I885" s="115"/>
      <c r="J885" s="115"/>
      <c r="K885" s="11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4"/>
      <c r="I886" s="115"/>
      <c r="J886" s="115"/>
      <c r="K886" s="11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4"/>
      <c r="I887" s="115"/>
      <c r="J887" s="115"/>
      <c r="K887" s="11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4"/>
      <c r="I888" s="115"/>
      <c r="J888" s="115"/>
      <c r="K888" s="11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4"/>
      <c r="I889" s="115"/>
      <c r="J889" s="115"/>
      <c r="K889" s="11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4"/>
      <c r="I890" s="115"/>
      <c r="J890" s="115"/>
      <c r="K890" s="11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4"/>
      <c r="I891" s="115"/>
      <c r="J891" s="115"/>
      <c r="K891" s="11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4"/>
      <c r="I892" s="115"/>
      <c r="J892" s="115"/>
      <c r="K892" s="11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4"/>
      <c r="I893" s="115"/>
      <c r="J893" s="115"/>
      <c r="K893" s="11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4"/>
      <c r="I894" s="115"/>
      <c r="J894" s="115"/>
      <c r="K894" s="11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4"/>
      <c r="I895" s="115"/>
      <c r="J895" s="115"/>
      <c r="K895" s="11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4"/>
      <c r="I896" s="115"/>
      <c r="J896" s="115"/>
      <c r="K896" s="11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4"/>
      <c r="I897" s="115"/>
      <c r="J897" s="115"/>
      <c r="K897" s="11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4"/>
      <c r="I898" s="115"/>
      <c r="J898" s="115"/>
      <c r="K898" s="11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4"/>
      <c r="I899" s="115"/>
      <c r="J899" s="115"/>
      <c r="K899" s="11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4"/>
      <c r="I900" s="115"/>
      <c r="J900" s="115"/>
      <c r="K900" s="11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4"/>
      <c r="I901" s="115"/>
      <c r="J901" s="115"/>
      <c r="K901" s="11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4"/>
      <c r="I902" s="115"/>
      <c r="J902" s="115"/>
      <c r="K902" s="11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4"/>
      <c r="I903" s="115"/>
      <c r="J903" s="115"/>
      <c r="K903" s="11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4"/>
      <c r="I904" s="115"/>
      <c r="J904" s="115"/>
      <c r="K904" s="11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4"/>
      <c r="I905" s="115"/>
      <c r="J905" s="115"/>
      <c r="K905" s="11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4"/>
      <c r="I906" s="115"/>
      <c r="J906" s="115"/>
      <c r="K906" s="11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4"/>
      <c r="I907" s="115"/>
      <c r="J907" s="115"/>
      <c r="K907" s="11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4"/>
      <c r="I908" s="115"/>
      <c r="J908" s="115"/>
      <c r="K908" s="11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4"/>
      <c r="I909" s="115"/>
      <c r="J909" s="115"/>
      <c r="K909" s="11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4"/>
      <c r="I910" s="115"/>
      <c r="J910" s="115"/>
      <c r="K910" s="11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4"/>
      <c r="I911" s="115"/>
      <c r="J911" s="115"/>
      <c r="K911" s="11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4"/>
      <c r="I912" s="115"/>
      <c r="J912" s="115"/>
      <c r="K912" s="11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4"/>
      <c r="I913" s="115"/>
      <c r="J913" s="115"/>
      <c r="K913" s="11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4"/>
      <c r="I914" s="115"/>
      <c r="J914" s="115"/>
      <c r="K914" s="11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4"/>
      <c r="I915" s="115"/>
      <c r="J915" s="115"/>
      <c r="K915" s="11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4"/>
      <c r="I916" s="115"/>
      <c r="J916" s="115"/>
      <c r="K916" s="11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4"/>
      <c r="I917" s="115"/>
      <c r="J917" s="115"/>
      <c r="K917" s="11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4"/>
      <c r="I918" s="115"/>
      <c r="J918" s="115"/>
      <c r="K918" s="11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4"/>
      <c r="I919" s="115"/>
      <c r="J919" s="115"/>
      <c r="K919" s="11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4"/>
      <c r="I920" s="115"/>
      <c r="J920" s="115"/>
      <c r="K920" s="11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4"/>
      <c r="I921" s="115"/>
      <c r="J921" s="115"/>
      <c r="K921" s="11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4"/>
      <c r="I922" s="115"/>
      <c r="J922" s="115"/>
      <c r="K922" s="11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4"/>
      <c r="I923" s="115"/>
      <c r="J923" s="115"/>
      <c r="K923" s="11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4"/>
      <c r="I924" s="115"/>
      <c r="J924" s="115"/>
      <c r="K924" s="11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4"/>
      <c r="I925" s="115"/>
      <c r="J925" s="115"/>
      <c r="K925" s="11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4"/>
      <c r="I926" s="115"/>
      <c r="J926" s="115"/>
      <c r="K926" s="11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4"/>
      <c r="I927" s="115"/>
      <c r="J927" s="115"/>
      <c r="K927" s="11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4"/>
      <c r="I928" s="115"/>
      <c r="J928" s="115"/>
      <c r="K928" s="11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4"/>
      <c r="I929" s="115"/>
      <c r="J929" s="115"/>
      <c r="K929" s="11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4"/>
      <c r="I930" s="115"/>
      <c r="J930" s="115"/>
      <c r="K930" s="11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4"/>
      <c r="I931" s="115"/>
      <c r="J931" s="115"/>
      <c r="K931" s="11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4"/>
      <c r="I932" s="115"/>
      <c r="J932" s="115"/>
      <c r="K932" s="11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4"/>
      <c r="I933" s="115"/>
      <c r="J933" s="115"/>
      <c r="K933" s="11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4"/>
      <c r="I934" s="115"/>
      <c r="J934" s="115"/>
      <c r="K934" s="11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4"/>
      <c r="I935" s="115"/>
      <c r="J935" s="115"/>
      <c r="K935" s="11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4"/>
      <c r="I936" s="115"/>
      <c r="J936" s="115"/>
      <c r="K936" s="11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4"/>
      <c r="I937" s="115"/>
      <c r="J937" s="115"/>
      <c r="K937" s="11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4"/>
      <c r="I938" s="115"/>
      <c r="J938" s="115"/>
      <c r="K938" s="11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4"/>
      <c r="I939" s="115"/>
      <c r="J939" s="115"/>
      <c r="K939" s="11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4"/>
      <c r="I940" s="115"/>
      <c r="J940" s="115"/>
      <c r="K940" s="11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4"/>
      <c r="I941" s="115"/>
      <c r="J941" s="115"/>
      <c r="K941" s="11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4"/>
      <c r="I942" s="115"/>
      <c r="J942" s="115"/>
      <c r="K942" s="11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4"/>
      <c r="I943" s="115"/>
      <c r="J943" s="115"/>
      <c r="K943" s="11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4"/>
      <c r="I944" s="115"/>
      <c r="J944" s="115"/>
      <c r="K944" s="11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4"/>
      <c r="I945" s="115"/>
      <c r="J945" s="115"/>
      <c r="K945" s="11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4"/>
      <c r="I946" s="115"/>
      <c r="J946" s="115"/>
      <c r="K946" s="11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4"/>
      <c r="I947" s="115"/>
      <c r="J947" s="115"/>
      <c r="K947" s="11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4"/>
      <c r="I948" s="115"/>
      <c r="J948" s="115"/>
      <c r="K948" s="11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4"/>
      <c r="I949" s="115"/>
      <c r="J949" s="115"/>
      <c r="K949" s="11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4"/>
      <c r="I950" s="115"/>
      <c r="J950" s="115"/>
      <c r="K950" s="11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4"/>
      <c r="I951" s="115"/>
      <c r="J951" s="115"/>
      <c r="K951" s="11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4"/>
      <c r="I952" s="115"/>
      <c r="J952" s="115"/>
      <c r="K952" s="11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4"/>
      <c r="I953" s="115"/>
      <c r="J953" s="115"/>
      <c r="K953" s="11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4"/>
      <c r="I954" s="115"/>
      <c r="J954" s="115"/>
      <c r="K954" s="11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4"/>
      <c r="I955" s="115"/>
      <c r="J955" s="115"/>
      <c r="K955" s="11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4"/>
      <c r="I956" s="115"/>
      <c r="J956" s="115"/>
      <c r="K956" s="11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4"/>
      <c r="I957" s="115"/>
      <c r="J957" s="115"/>
      <c r="K957" s="11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4"/>
      <c r="I958" s="115"/>
      <c r="J958" s="115"/>
      <c r="K958" s="11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4"/>
      <c r="I959" s="115"/>
      <c r="J959" s="115"/>
      <c r="K959" s="11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4"/>
      <c r="I960" s="115"/>
      <c r="J960" s="115"/>
      <c r="K960" s="11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4"/>
      <c r="I961" s="115"/>
      <c r="J961" s="115"/>
      <c r="K961" s="11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4"/>
      <c r="I962" s="115"/>
      <c r="J962" s="115"/>
      <c r="K962" s="11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4"/>
      <c r="I963" s="115"/>
      <c r="J963" s="115"/>
      <c r="K963" s="11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4"/>
      <c r="I964" s="115"/>
      <c r="J964" s="115"/>
      <c r="K964" s="11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4"/>
      <c r="I965" s="115"/>
      <c r="J965" s="115"/>
      <c r="K965" s="11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4"/>
      <c r="I966" s="115"/>
      <c r="J966" s="115"/>
      <c r="K966" s="11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4"/>
      <c r="I967" s="115"/>
      <c r="J967" s="115"/>
      <c r="K967" s="11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4"/>
      <c r="I968" s="115"/>
      <c r="J968" s="115"/>
      <c r="K968" s="11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4"/>
      <c r="I969" s="115"/>
      <c r="J969" s="115"/>
      <c r="K969" s="11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4"/>
      <c r="I970" s="115"/>
      <c r="J970" s="115"/>
      <c r="K970" s="11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4"/>
      <c r="I971" s="115"/>
      <c r="J971" s="115"/>
      <c r="K971" s="11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4"/>
      <c r="I972" s="115"/>
      <c r="J972" s="115"/>
      <c r="K972" s="11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4"/>
      <c r="I973" s="115"/>
      <c r="J973" s="115"/>
      <c r="K973" s="11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4"/>
      <c r="I974" s="115"/>
      <c r="J974" s="115"/>
      <c r="K974" s="11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4"/>
      <c r="I975" s="115"/>
      <c r="J975" s="115"/>
      <c r="K975" s="11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4"/>
      <c r="I976" s="115"/>
      <c r="J976" s="115"/>
      <c r="K976" s="11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4"/>
      <c r="I977" s="115"/>
      <c r="J977" s="115"/>
      <c r="K977" s="11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4"/>
      <c r="I978" s="115"/>
      <c r="J978" s="115"/>
      <c r="K978" s="11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4"/>
      <c r="I979" s="115"/>
      <c r="J979" s="115"/>
      <c r="K979" s="11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4"/>
      <c r="I980" s="115"/>
      <c r="J980" s="115"/>
      <c r="K980" s="11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4"/>
      <c r="I981" s="115"/>
      <c r="J981" s="115"/>
      <c r="K981" s="11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4"/>
      <c r="I982" s="115"/>
      <c r="J982" s="115"/>
      <c r="K982" s="11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4"/>
      <c r="I983" s="115"/>
      <c r="J983" s="115"/>
      <c r="K983" s="11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4"/>
      <c r="I984" s="115"/>
      <c r="J984" s="115"/>
      <c r="K984" s="11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4"/>
      <c r="I985" s="115"/>
      <c r="J985" s="115"/>
      <c r="K985" s="11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4"/>
      <c r="I986" s="115"/>
      <c r="J986" s="115"/>
      <c r="K986" s="11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4"/>
      <c r="I987" s="115"/>
      <c r="J987" s="115"/>
      <c r="K987" s="11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4"/>
      <c r="I988" s="115"/>
      <c r="J988" s="115"/>
      <c r="K988" s="11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4"/>
      <c r="I989" s="115"/>
      <c r="J989" s="115"/>
      <c r="K989" s="11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4"/>
      <c r="I990" s="115"/>
      <c r="J990" s="115"/>
      <c r="K990" s="11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4"/>
      <c r="I991" s="115"/>
      <c r="J991" s="115"/>
      <c r="K991" s="11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4"/>
      <c r="I992" s="115"/>
      <c r="J992" s="115"/>
      <c r="K992" s="11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4"/>
      <c r="I993" s="115"/>
      <c r="J993" s="115"/>
      <c r="K993" s="11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4"/>
      <c r="I994" s="115"/>
      <c r="J994" s="115"/>
      <c r="K994" s="11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4"/>
      <c r="I995" s="115"/>
      <c r="J995" s="115"/>
      <c r="K995" s="11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4"/>
      <c r="I996" s="115"/>
      <c r="J996" s="115"/>
      <c r="K996" s="11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4"/>
      <c r="I997" s="115"/>
      <c r="J997" s="115"/>
      <c r="K997" s="11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4"/>
      <c r="I998" s="115"/>
      <c r="J998" s="115"/>
      <c r="K998" s="11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4"/>
      <c r="I999" s="115"/>
      <c r="J999" s="115"/>
      <c r="K999" s="11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4"/>
      <c r="I1000" s="115"/>
      <c r="J1000" s="115"/>
      <c r="K1000" s="11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A46:G46"/>
    <mergeCell ref="A67:G67"/>
    <mergeCell ref="A2:G2"/>
    <mergeCell ref="A21:G21"/>
    <mergeCell ref="C30:G30"/>
    <mergeCell ref="C33:G33"/>
    <mergeCell ref="A39:F39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0"/>
  <sheetViews>
    <sheetView showGridLines="0" workbookViewId="0">
      <selection activeCell="A5" sqref="A5"/>
    </sheetView>
  </sheetViews>
  <sheetFormatPr baseColWidth="10" defaultColWidth="12.6328125" defaultRowHeight="15" customHeight="1" x14ac:dyDescent="0.25"/>
  <cols>
    <col min="1" max="1" width="36.6328125" bestFit="1" customWidth="1"/>
    <col min="2" max="6" width="14.26953125" customWidth="1"/>
    <col min="7" max="7" width="14.6328125" customWidth="1"/>
    <col min="8" max="11" width="9.08984375" customWidth="1"/>
    <col min="12" max="26" width="10" customWidth="1"/>
  </cols>
  <sheetData>
    <row r="1" spans="1:26" ht="15.75" customHeight="1" x14ac:dyDescent="0.35">
      <c r="A1" s="5"/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5" x14ac:dyDescent="0.35">
      <c r="A2" s="351" t="s">
        <v>183</v>
      </c>
      <c r="B2" s="352"/>
      <c r="C2" s="352"/>
      <c r="D2" s="352"/>
      <c r="E2" s="352"/>
      <c r="F2" s="352"/>
      <c r="G2" s="343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5" x14ac:dyDescent="0.35">
      <c r="A3" s="317" t="s">
        <v>184</v>
      </c>
      <c r="B3" s="26" t="s">
        <v>131</v>
      </c>
      <c r="C3" s="26" t="s">
        <v>91</v>
      </c>
      <c r="D3" s="26" t="s">
        <v>110</v>
      </c>
      <c r="E3" s="26" t="s">
        <v>122</v>
      </c>
      <c r="F3" s="26" t="s">
        <v>128</v>
      </c>
      <c r="G3" s="30" t="s">
        <v>132</v>
      </c>
      <c r="H3" s="6"/>
      <c r="I3" s="6"/>
      <c r="J3" s="6"/>
      <c r="K3" s="1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5" x14ac:dyDescent="0.35">
      <c r="A4" s="318" t="s">
        <v>185</v>
      </c>
      <c r="B4" s="319">
        <f t="shared" ref="B4:G4" si="0">SUM(B5)</f>
        <v>66484.739166666681</v>
      </c>
      <c r="C4" s="319">
        <f t="shared" si="0"/>
        <v>-325330.3698333333</v>
      </c>
      <c r="D4" s="319">
        <f t="shared" si="0"/>
        <v>-951787.39985920012</v>
      </c>
      <c r="E4" s="319">
        <f t="shared" si="0"/>
        <v>-1708228.4046715749</v>
      </c>
      <c r="F4" s="319">
        <f t="shared" si="0"/>
        <v>-2624207.1823191661</v>
      </c>
      <c r="G4" s="320">
        <f t="shared" si="0"/>
        <v>-3738458.045624238</v>
      </c>
      <c r="H4" s="6"/>
      <c r="I4" s="6"/>
      <c r="J4" s="6"/>
      <c r="K4" s="32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5" x14ac:dyDescent="0.35">
      <c r="A5" s="175" t="s">
        <v>186</v>
      </c>
      <c r="B5" s="37">
        <f>EFINANCIEROS!B74</f>
        <v>66484.739166666681</v>
      </c>
      <c r="C5" s="37">
        <f>EFINANCIEROS!C74</f>
        <v>-325330.3698333333</v>
      </c>
      <c r="D5" s="37">
        <f>EFINANCIEROS!D74</f>
        <v>-951787.39985920012</v>
      </c>
      <c r="E5" s="37">
        <f>EFINANCIEROS!E74</f>
        <v>-1708228.4046715749</v>
      </c>
      <c r="F5" s="37">
        <f>EFINANCIEROS!F74</f>
        <v>-2624207.1823191661</v>
      </c>
      <c r="G5" s="322">
        <f>EFINANCIEROS!G74</f>
        <v>-3738458.045624238</v>
      </c>
      <c r="H5" s="6"/>
      <c r="I5" s="6"/>
      <c r="J5" s="6"/>
      <c r="K5" s="3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5" x14ac:dyDescent="0.35">
      <c r="A6" s="318" t="s">
        <v>187</v>
      </c>
      <c r="B6" s="319">
        <f t="shared" ref="B6:G6" si="1">SUM(B7:B10)</f>
        <v>43333.53</v>
      </c>
      <c r="C6" s="319">
        <f t="shared" si="1"/>
        <v>43333.53</v>
      </c>
      <c r="D6" s="319">
        <f t="shared" si="1"/>
        <v>43333.53</v>
      </c>
      <c r="E6" s="319">
        <f t="shared" si="1"/>
        <v>43333.53</v>
      </c>
      <c r="F6" s="319">
        <f t="shared" si="1"/>
        <v>43333.53</v>
      </c>
      <c r="G6" s="320">
        <f t="shared" si="1"/>
        <v>43333.53</v>
      </c>
      <c r="H6" s="6"/>
      <c r="I6" s="6"/>
      <c r="J6" s="6"/>
      <c r="K6" s="32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5">
      <c r="A7" s="323" t="s">
        <v>87</v>
      </c>
      <c r="B7" s="37">
        <f>+'Supuestos de Inversión'!B9</f>
        <v>18346.12</v>
      </c>
      <c r="C7" s="37">
        <f t="shared" ref="C7:G7" si="2">B7</f>
        <v>18346.12</v>
      </c>
      <c r="D7" s="37">
        <f t="shared" si="2"/>
        <v>18346.12</v>
      </c>
      <c r="E7" s="37">
        <f t="shared" si="2"/>
        <v>18346.12</v>
      </c>
      <c r="F7" s="37">
        <f t="shared" si="2"/>
        <v>18346.12</v>
      </c>
      <c r="G7" s="322">
        <f t="shared" si="2"/>
        <v>18346.12</v>
      </c>
      <c r="H7" s="324"/>
      <c r="I7" s="6"/>
      <c r="J7" s="6"/>
      <c r="K7" s="11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35">
      <c r="A8" s="323" t="s">
        <v>188</v>
      </c>
      <c r="B8" s="37">
        <f>+'Supuestos de Inversión'!B4</f>
        <v>13979.74</v>
      </c>
      <c r="C8" s="37">
        <f t="shared" ref="C8:G8" si="3">B8</f>
        <v>13979.74</v>
      </c>
      <c r="D8" s="37">
        <f t="shared" si="3"/>
        <v>13979.74</v>
      </c>
      <c r="E8" s="37">
        <f t="shared" si="3"/>
        <v>13979.74</v>
      </c>
      <c r="F8" s="37">
        <f t="shared" si="3"/>
        <v>13979.74</v>
      </c>
      <c r="G8" s="322">
        <f t="shared" si="3"/>
        <v>13979.74</v>
      </c>
      <c r="H8" s="32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35">
      <c r="A9" s="323" t="s">
        <v>189</v>
      </c>
      <c r="B9" s="37">
        <f>+'Supuestos de Inversión'!B10</f>
        <v>11007.67</v>
      </c>
      <c r="C9" s="37">
        <f t="shared" ref="C9:G9" si="4">B9</f>
        <v>11007.67</v>
      </c>
      <c r="D9" s="37">
        <f t="shared" si="4"/>
        <v>11007.67</v>
      </c>
      <c r="E9" s="37">
        <f t="shared" si="4"/>
        <v>11007.67</v>
      </c>
      <c r="F9" s="37">
        <f t="shared" si="4"/>
        <v>11007.67</v>
      </c>
      <c r="G9" s="322">
        <f t="shared" si="4"/>
        <v>11007.67</v>
      </c>
      <c r="H9" s="32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5" x14ac:dyDescent="0.35">
      <c r="A10" s="175" t="s">
        <v>190</v>
      </c>
      <c r="B10" s="37"/>
      <c r="C10" s="37">
        <f>-EFINANCIEROS!C24</f>
        <v>0</v>
      </c>
      <c r="D10" s="37">
        <f>C10-EFINANCIEROS!D24</f>
        <v>0</v>
      </c>
      <c r="E10" s="37">
        <f>D10-EFINANCIEROS!E24</f>
        <v>0</v>
      </c>
      <c r="F10" s="37">
        <f>E10-EFINANCIEROS!F24</f>
        <v>0</v>
      </c>
      <c r="G10" s="322">
        <f>F10-EFINANCIEROS!G24</f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5" x14ac:dyDescent="0.35">
      <c r="A11" s="318" t="s">
        <v>191</v>
      </c>
      <c r="B11" s="319">
        <f>+'Supuestos de Inversión'!B17</f>
        <v>1500</v>
      </c>
      <c r="C11" s="319">
        <f>+'Supuestos de Inversión'!C17</f>
        <v>1500</v>
      </c>
      <c r="D11" s="319">
        <f t="shared" ref="D11:G11" si="5">+C11</f>
        <v>1500</v>
      </c>
      <c r="E11" s="319">
        <f t="shared" si="5"/>
        <v>1500</v>
      </c>
      <c r="F11" s="319">
        <f t="shared" si="5"/>
        <v>1500</v>
      </c>
      <c r="G11" s="319">
        <f t="shared" si="5"/>
        <v>1500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5" x14ac:dyDescent="0.35">
      <c r="A12" s="175" t="s">
        <v>192</v>
      </c>
      <c r="B12" s="37">
        <f>+B11</f>
        <v>1500</v>
      </c>
      <c r="C12" s="37">
        <v>0</v>
      </c>
      <c r="D12" s="37">
        <f t="shared" ref="D12:G12" si="6">+D11</f>
        <v>1500</v>
      </c>
      <c r="E12" s="37">
        <f t="shared" si="6"/>
        <v>1500</v>
      </c>
      <c r="F12" s="37">
        <f t="shared" si="6"/>
        <v>1500</v>
      </c>
      <c r="G12" s="37">
        <f t="shared" si="6"/>
        <v>1500</v>
      </c>
      <c r="H12" s="32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5" x14ac:dyDescent="0.35">
      <c r="A13" s="175" t="s">
        <v>193</v>
      </c>
      <c r="B13" s="37"/>
      <c r="C13" s="37">
        <f>+C33</f>
        <v>300</v>
      </c>
      <c r="D13" s="37">
        <f>+C13+C13</f>
        <v>600</v>
      </c>
      <c r="E13" s="37">
        <f>+D13+C13</f>
        <v>900</v>
      </c>
      <c r="F13" s="37">
        <f>+E13+C13</f>
        <v>1200</v>
      </c>
      <c r="G13" s="326">
        <f>+F13+C13</f>
        <v>1500</v>
      </c>
      <c r="H13" s="11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5" x14ac:dyDescent="0.35">
      <c r="A14" s="175" t="s">
        <v>194</v>
      </c>
      <c r="B14" s="37">
        <f>B11-B12</f>
        <v>0</v>
      </c>
      <c r="C14" s="37">
        <f t="shared" ref="C14:G14" si="7">+C11-C13</f>
        <v>1200</v>
      </c>
      <c r="D14" s="37">
        <f t="shared" si="7"/>
        <v>900</v>
      </c>
      <c r="E14" s="37">
        <f t="shared" si="7"/>
        <v>600</v>
      </c>
      <c r="F14" s="37">
        <f t="shared" si="7"/>
        <v>300</v>
      </c>
      <c r="G14" s="37">
        <f t="shared" si="7"/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5" x14ac:dyDescent="0.35">
      <c r="A15" s="88" t="s">
        <v>195</v>
      </c>
      <c r="B15" s="327">
        <f t="shared" ref="B15:G15" si="8">B4+B6+B11</f>
        <v>111318.26916666668</v>
      </c>
      <c r="C15" s="327">
        <f t="shared" si="8"/>
        <v>-280496.83983333327</v>
      </c>
      <c r="D15" s="327">
        <f t="shared" si="8"/>
        <v>-906953.86985920009</v>
      </c>
      <c r="E15" s="327">
        <f t="shared" si="8"/>
        <v>-1663394.8746715749</v>
      </c>
      <c r="F15" s="327">
        <f t="shared" si="8"/>
        <v>-2579373.6523191663</v>
      </c>
      <c r="G15" s="328">
        <f t="shared" si="8"/>
        <v>-3693624.5156242382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5" x14ac:dyDescent="0.35">
      <c r="A16" s="371"/>
      <c r="B16" s="360"/>
      <c r="C16" s="360"/>
      <c r="D16" s="360"/>
      <c r="E16" s="360"/>
      <c r="F16" s="360"/>
      <c r="G16" s="36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5" x14ac:dyDescent="0.35">
      <c r="A17" s="124" t="s">
        <v>196</v>
      </c>
      <c r="B17" s="329">
        <f t="shared" ref="B17:G17" si="9">+B18</f>
        <v>0</v>
      </c>
      <c r="C17" s="329">
        <f t="shared" si="9"/>
        <v>0</v>
      </c>
      <c r="D17" s="329">
        <f t="shared" si="9"/>
        <v>0</v>
      </c>
      <c r="E17" s="329">
        <f t="shared" si="9"/>
        <v>0</v>
      </c>
      <c r="F17" s="329">
        <f t="shared" si="9"/>
        <v>0</v>
      </c>
      <c r="G17" s="330">
        <f t="shared" si="9"/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5" x14ac:dyDescent="0.35">
      <c r="A18" s="175" t="s">
        <v>197</v>
      </c>
      <c r="B18" s="37">
        <f t="shared" ref="B18:G18" si="10">B19</f>
        <v>0</v>
      </c>
      <c r="C18" s="37">
        <f t="shared" si="10"/>
        <v>0</v>
      </c>
      <c r="D18" s="37">
        <f t="shared" si="10"/>
        <v>0</v>
      </c>
      <c r="E18" s="37">
        <f t="shared" si="10"/>
        <v>0</v>
      </c>
      <c r="F18" s="37">
        <f t="shared" si="10"/>
        <v>0</v>
      </c>
      <c r="G18" s="322">
        <f t="shared" si="10"/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5">
      <c r="A19" s="175" t="s">
        <v>198</v>
      </c>
      <c r="B19" s="37">
        <f>'Supuestos de Inversión'!D19</f>
        <v>0</v>
      </c>
      <c r="C19" s="37">
        <f>B19-EFINANCIEROS!C25</f>
        <v>0</v>
      </c>
      <c r="D19" s="37">
        <f>C19-EFINANCIEROS!D25</f>
        <v>0</v>
      </c>
      <c r="E19" s="37">
        <f>D19-EFINANCIEROS!E25</f>
        <v>0</v>
      </c>
      <c r="F19" s="37">
        <f>E19-EFINANCIEROS!F25</f>
        <v>0</v>
      </c>
      <c r="G19" s="322">
        <f>F19-EFINANCIEROS!G25</f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5">
      <c r="A20" s="381"/>
      <c r="B20" s="360"/>
      <c r="C20" s="360"/>
      <c r="D20" s="360"/>
      <c r="E20" s="360"/>
      <c r="F20" s="360"/>
      <c r="G20" s="36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331" t="s">
        <v>199</v>
      </c>
      <c r="B21" s="332">
        <f t="shared" ref="B21:G21" si="11">SUM(B22:B24)</f>
        <v>111318.26916666667</v>
      </c>
      <c r="C21" s="332">
        <f t="shared" si="11"/>
        <v>-280496.83983333333</v>
      </c>
      <c r="D21" s="332">
        <f t="shared" si="11"/>
        <v>-906953.8698592002</v>
      </c>
      <c r="E21" s="332">
        <f t="shared" si="11"/>
        <v>-1663394.8746715749</v>
      </c>
      <c r="F21" s="332">
        <f t="shared" si="11"/>
        <v>-2579373.6523191663</v>
      </c>
      <c r="G21" s="333">
        <f t="shared" si="11"/>
        <v>-3693624.5156242382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175" t="s">
        <v>200</v>
      </c>
      <c r="B22" s="37">
        <f>+'Supuestos de Inversión'!C19</f>
        <v>111318.26916666667</v>
      </c>
      <c r="C22" s="37">
        <f t="shared" ref="C22:G22" si="12">B22</f>
        <v>111318.26916666667</v>
      </c>
      <c r="D22" s="37">
        <f t="shared" si="12"/>
        <v>111318.26916666667</v>
      </c>
      <c r="E22" s="37">
        <f t="shared" si="12"/>
        <v>111318.26916666667</v>
      </c>
      <c r="F22" s="37">
        <f t="shared" si="12"/>
        <v>111318.26916666667</v>
      </c>
      <c r="G22" s="322">
        <f t="shared" si="12"/>
        <v>111318.26916666667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175" t="s">
        <v>201</v>
      </c>
      <c r="B23" s="37"/>
      <c r="C23" s="37"/>
      <c r="D23" s="37">
        <f>C24</f>
        <v>-391815.109</v>
      </c>
      <c r="E23" s="37">
        <f t="shared" ref="E23:G23" si="13">D23+D24</f>
        <v>-1018272.1390258668</v>
      </c>
      <c r="F23" s="37">
        <f t="shared" si="13"/>
        <v>-1774713.1438382417</v>
      </c>
      <c r="G23" s="322">
        <f t="shared" si="13"/>
        <v>-2690691.9214858329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175" t="s">
        <v>202</v>
      </c>
      <c r="B24" s="37"/>
      <c r="C24" s="37">
        <f>EFINANCIEROS!C23</f>
        <v>-391815.109</v>
      </c>
      <c r="D24" s="37">
        <f>EFINANCIEROS!D23</f>
        <v>-626457.03002586681</v>
      </c>
      <c r="E24" s="37">
        <f>EFINANCIEROS!E23</f>
        <v>-756441.00481237483</v>
      </c>
      <c r="F24" s="37">
        <f>EFINANCIEROS!F23</f>
        <v>-915978.7776475912</v>
      </c>
      <c r="G24" s="322">
        <f>EFINANCIEROS!G23</f>
        <v>-1114250.8633050718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381"/>
      <c r="B25" s="360"/>
      <c r="C25" s="360"/>
      <c r="D25" s="360"/>
      <c r="E25" s="360"/>
      <c r="F25" s="360"/>
      <c r="G25" s="36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306" t="s">
        <v>203</v>
      </c>
      <c r="B26" s="106">
        <f t="shared" ref="B26:G26" si="14">B21+B17</f>
        <v>111318.26916666667</v>
      </c>
      <c r="C26" s="106">
        <f t="shared" si="14"/>
        <v>-280496.83983333333</v>
      </c>
      <c r="D26" s="106">
        <f t="shared" si="14"/>
        <v>-906953.8698592002</v>
      </c>
      <c r="E26" s="106">
        <f t="shared" si="14"/>
        <v>-1663394.8746715749</v>
      </c>
      <c r="F26" s="106">
        <f t="shared" si="14"/>
        <v>-2579373.6523191663</v>
      </c>
      <c r="G26" s="308">
        <f t="shared" si="14"/>
        <v>-3693624.5156242382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5"/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5"/>
      <c r="B28" s="119">
        <f t="shared" ref="B28:G28" si="15">B15-B26</f>
        <v>0</v>
      </c>
      <c r="C28" s="119">
        <f t="shared" si="15"/>
        <v>0</v>
      </c>
      <c r="D28" s="119">
        <f t="shared" si="15"/>
        <v>0</v>
      </c>
      <c r="E28" s="119">
        <f t="shared" si="15"/>
        <v>0</v>
      </c>
      <c r="F28" s="119">
        <f t="shared" si="15"/>
        <v>0</v>
      </c>
      <c r="G28" s="119">
        <f t="shared" si="15"/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5"/>
      <c r="B29" s="119"/>
      <c r="C29" s="119"/>
      <c r="D29" s="119"/>
      <c r="E29" s="119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334" t="s">
        <v>191</v>
      </c>
      <c r="B33" s="335">
        <f>+B11</f>
        <v>1500</v>
      </c>
      <c r="C33" s="334">
        <f>+B33/5</f>
        <v>300</v>
      </c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5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5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5"/>
      <c r="B41" s="5"/>
      <c r="C41" s="5"/>
      <c r="D41" s="5"/>
      <c r="E41" s="5"/>
      <c r="F41" s="5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5"/>
      <c r="B42" s="5"/>
      <c r="C42" s="5"/>
      <c r="D42" s="5"/>
      <c r="E42" s="5"/>
      <c r="F42" s="5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5"/>
      <c r="B43" s="5"/>
      <c r="C43" s="5"/>
      <c r="D43" s="5"/>
      <c r="E43" s="5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5"/>
      <c r="B44" s="5"/>
      <c r="C44" s="5"/>
      <c r="D44" s="5"/>
      <c r="E44" s="5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5"/>
      <c r="B45" s="5"/>
      <c r="C45" s="5"/>
      <c r="D45" s="5"/>
      <c r="E45" s="5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5"/>
      <c r="B46" s="5"/>
      <c r="C46" s="5"/>
      <c r="D46" s="5"/>
      <c r="E46" s="5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5"/>
      <c r="B47" s="5"/>
      <c r="C47" s="5"/>
      <c r="D47" s="5"/>
      <c r="E47" s="5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5"/>
      <c r="B48" s="5"/>
      <c r="C48" s="5"/>
      <c r="D48" s="5"/>
      <c r="E48" s="5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5"/>
      <c r="B49" s="5"/>
      <c r="C49" s="5"/>
      <c r="D49" s="5"/>
      <c r="E49" s="5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5"/>
      <c r="B50" s="5"/>
      <c r="C50" s="5"/>
      <c r="D50" s="5"/>
      <c r="E50" s="5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5"/>
      <c r="B51" s="5"/>
      <c r="C51" s="5"/>
      <c r="D51" s="5"/>
      <c r="E51" s="5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5"/>
      <c r="B52" s="5"/>
      <c r="C52" s="5"/>
      <c r="D52" s="5"/>
      <c r="E52" s="5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5"/>
      <c r="B53" s="5"/>
      <c r="C53" s="5"/>
      <c r="D53" s="5"/>
      <c r="E53" s="5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5"/>
      <c r="B54" s="5"/>
      <c r="C54" s="5"/>
      <c r="D54" s="5"/>
      <c r="E54" s="5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5"/>
      <c r="B55" s="5"/>
      <c r="C55" s="5"/>
      <c r="D55" s="5"/>
      <c r="E55" s="5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5"/>
      <c r="B56" s="5"/>
      <c r="C56" s="5"/>
      <c r="D56" s="5"/>
      <c r="E56" s="5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5"/>
      <c r="B57" s="5"/>
      <c r="C57" s="5"/>
      <c r="D57" s="5"/>
      <c r="E57" s="5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5"/>
      <c r="B58" s="5"/>
      <c r="C58" s="5"/>
      <c r="D58" s="5"/>
      <c r="E58" s="5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5"/>
      <c r="B59" s="5"/>
      <c r="C59" s="5"/>
      <c r="D59" s="5"/>
      <c r="E59" s="5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5"/>
      <c r="B60" s="5"/>
      <c r="C60" s="5"/>
      <c r="D60" s="5"/>
      <c r="E60" s="5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5"/>
      <c r="B61" s="5"/>
      <c r="C61" s="5"/>
      <c r="D61" s="5"/>
      <c r="E61" s="5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5"/>
      <c r="B62" s="5"/>
      <c r="C62" s="5"/>
      <c r="D62" s="5"/>
      <c r="E62" s="5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5"/>
      <c r="B63" s="5"/>
      <c r="C63" s="5"/>
      <c r="D63" s="5"/>
      <c r="E63" s="5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5"/>
      <c r="B64" s="5"/>
      <c r="C64" s="5"/>
      <c r="D64" s="5"/>
      <c r="E64" s="5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5"/>
      <c r="B65" s="5"/>
      <c r="C65" s="5"/>
      <c r="D65" s="5"/>
      <c r="E65" s="5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5"/>
      <c r="B66" s="5"/>
      <c r="C66" s="5"/>
      <c r="D66" s="5"/>
      <c r="E66" s="5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5"/>
      <c r="B67" s="5"/>
      <c r="C67" s="5"/>
      <c r="D67" s="5"/>
      <c r="E67" s="5"/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5"/>
      <c r="B68" s="5"/>
      <c r="C68" s="5"/>
      <c r="D68" s="5"/>
      <c r="E68" s="5"/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5"/>
      <c r="B69" s="5"/>
      <c r="C69" s="5"/>
      <c r="D69" s="5"/>
      <c r="E69" s="5"/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5"/>
      <c r="B70" s="5"/>
      <c r="C70" s="5"/>
      <c r="D70" s="5"/>
      <c r="E70" s="5"/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"/>
      <c r="B71" s="5"/>
      <c r="C71" s="5"/>
      <c r="D71" s="5"/>
      <c r="E71" s="5"/>
      <c r="F71" s="5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"/>
      <c r="B72" s="5"/>
      <c r="C72" s="5"/>
      <c r="D72" s="5"/>
      <c r="E72" s="5"/>
      <c r="F72" s="5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"/>
      <c r="B73" s="5"/>
      <c r="C73" s="5"/>
      <c r="D73" s="5"/>
      <c r="E73" s="5"/>
      <c r="F73" s="5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5"/>
      <c r="B74" s="5"/>
      <c r="C74" s="5"/>
      <c r="D74" s="5"/>
      <c r="E74" s="5"/>
      <c r="F74" s="5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5"/>
      <c r="B75" s="5"/>
      <c r="C75" s="5"/>
      <c r="D75" s="5"/>
      <c r="E75" s="5"/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5"/>
      <c r="B76" s="5"/>
      <c r="C76" s="5"/>
      <c r="D76" s="5"/>
      <c r="E76" s="5"/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5"/>
      <c r="B77" s="5"/>
      <c r="C77" s="5"/>
      <c r="D77" s="5"/>
      <c r="E77" s="5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5"/>
      <c r="B78" s="5"/>
      <c r="C78" s="5"/>
      <c r="D78" s="5"/>
      <c r="E78" s="5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5"/>
      <c r="B79" s="5"/>
      <c r="C79" s="5"/>
      <c r="D79" s="5"/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5"/>
      <c r="B80" s="5"/>
      <c r="C80" s="5"/>
      <c r="D80" s="5"/>
      <c r="E80" s="5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5"/>
      <c r="B81" s="5"/>
      <c r="C81" s="5"/>
      <c r="D81" s="5"/>
      <c r="E81" s="5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5"/>
      <c r="B82" s="5"/>
      <c r="C82" s="5"/>
      <c r="D82" s="5"/>
      <c r="E82" s="5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5"/>
      <c r="B83" s="5"/>
      <c r="C83" s="5"/>
      <c r="D83" s="5"/>
      <c r="E83" s="5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5"/>
      <c r="B84" s="5"/>
      <c r="C84" s="5"/>
      <c r="D84" s="5"/>
      <c r="E84" s="5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5"/>
      <c r="B85" s="5"/>
      <c r="C85" s="5"/>
      <c r="D85" s="5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5"/>
      <c r="B86" s="5"/>
      <c r="C86" s="5"/>
      <c r="D86" s="5"/>
      <c r="E86" s="5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5"/>
      <c r="B87" s="5"/>
      <c r="C87" s="5"/>
      <c r="D87" s="5"/>
      <c r="E87" s="5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5"/>
      <c r="B88" s="5"/>
      <c r="C88" s="5"/>
      <c r="D88" s="5"/>
      <c r="E88" s="5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5"/>
      <c r="B89" s="5"/>
      <c r="C89" s="5"/>
      <c r="D89" s="5"/>
      <c r="E89" s="5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5"/>
      <c r="B90" s="5"/>
      <c r="C90" s="5"/>
      <c r="D90" s="5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5"/>
      <c r="B91" s="5"/>
      <c r="C91" s="5"/>
      <c r="D91" s="5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5"/>
      <c r="B92" s="5"/>
      <c r="C92" s="5"/>
      <c r="D92" s="5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5"/>
      <c r="B93" s="5"/>
      <c r="C93" s="5"/>
      <c r="D93" s="5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5"/>
      <c r="B94" s="5"/>
      <c r="C94" s="5"/>
      <c r="D94" s="5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5"/>
      <c r="B95" s="5"/>
      <c r="C95" s="5"/>
      <c r="D95" s="5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5"/>
      <c r="B96" s="5"/>
      <c r="C96" s="5"/>
      <c r="D96" s="5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5"/>
      <c r="B97" s="5"/>
      <c r="C97" s="5"/>
      <c r="D97" s="5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5"/>
      <c r="B98" s="5"/>
      <c r="C98" s="5"/>
      <c r="D98" s="5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5"/>
      <c r="B99" s="5"/>
      <c r="C99" s="5"/>
      <c r="D99" s="5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5"/>
      <c r="B100" s="5"/>
      <c r="C100" s="5"/>
      <c r="D100" s="5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5"/>
      <c r="B101" s="5"/>
      <c r="C101" s="5"/>
      <c r="D101" s="5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5"/>
      <c r="B102" s="5"/>
      <c r="C102" s="5"/>
      <c r="D102" s="5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2:G2"/>
    <mergeCell ref="A16:G16"/>
    <mergeCell ref="A20:G20"/>
    <mergeCell ref="A25:G2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2.6328125" defaultRowHeight="15" customHeight="1" x14ac:dyDescent="0.25"/>
  <cols>
    <col min="1" max="26" width="10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Requerimientos</vt:lpstr>
      <vt:lpstr>Salarios</vt:lpstr>
      <vt:lpstr>Supuestos Ventas y Costos</vt:lpstr>
      <vt:lpstr>Supuestos de Inversión</vt:lpstr>
      <vt:lpstr>EFINANCIEROS</vt:lpstr>
      <vt:lpstr>BALANCES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2026-08-01T15:05:13Z</dcterms:created>
  <dcterms:modified xsi:type="dcterms:W3CDTF">2026-08-01T15:05:14Z</dcterms:modified>
</cp:coreProperties>
</file>